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2.xml" ContentType="application/vnd.openxmlformats-officedocument.drawing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429" codeName="{899C9086-67A9-5B14-2C2D-5A8001700F7D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lydie\OneDrive\Bureau\M2 Modélisation Financière\Finance Appliquée\finance aplliquée_Options(PricingHedging)\Projet\Projetrendu\"/>
    </mc:Choice>
  </mc:AlternateContent>
  <xr:revisionPtr revIDLastSave="0" documentId="13_ncr:1_{F28BD9B0-3873-4DE1-9FC2-A8B8E9CBD0CA}" xr6:coauthVersionLast="47" xr6:coauthVersionMax="47" xr10:uidLastSave="{00000000-0000-0000-0000-000000000000}"/>
  <bookViews>
    <workbookView xWindow="-108" yWindow="-108" windowWidth="23256" windowHeight="12456" firstSheet="1" activeTab="4" xr2:uid="{EF8DCF47-0B50-4801-B6D4-93AA5B54EFFD}"/>
  </bookViews>
  <sheets>
    <sheet name="Data_3400" sheetId="1" r:id="rId1"/>
    <sheet name="Data_3000" sheetId="2" r:id="rId2"/>
    <sheet name="Sensibilité Stratégie 1" sheetId="3" r:id="rId3"/>
    <sheet name="Sensibilité Stratégie 2" sheetId="4" r:id="rId4"/>
    <sheet name="Backtest Stratégie 1" sheetId="5" r:id="rId5"/>
    <sheet name="Backtest Stratégie 2" sheetId="6" r:id="rId6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B8" i="6" l="1"/>
  <c r="AB9" i="6"/>
  <c r="AB10" i="6"/>
  <c r="AB11" i="6"/>
  <c r="AB12" i="6"/>
  <c r="AB13" i="6"/>
  <c r="AB14" i="6"/>
  <c r="AB15" i="6"/>
  <c r="AB16" i="6"/>
  <c r="AB17" i="6"/>
  <c r="AB18" i="6"/>
  <c r="AB19" i="6"/>
  <c r="AB20" i="6"/>
  <c r="AB21" i="6"/>
  <c r="AB22" i="6"/>
  <c r="AB23" i="6"/>
  <c r="AB24" i="6"/>
  <c r="AB25" i="6"/>
  <c r="AB26" i="6"/>
  <c r="AB27" i="6"/>
  <c r="AB28" i="6"/>
  <c r="AB29" i="6"/>
  <c r="AB30" i="6"/>
  <c r="AB31" i="6"/>
  <c r="AB32" i="6"/>
  <c r="AB33" i="6"/>
  <c r="AB34" i="6"/>
  <c r="AB35" i="6"/>
  <c r="AB36" i="6"/>
  <c r="AB37" i="6"/>
  <c r="AB38" i="6"/>
  <c r="AB39" i="6"/>
  <c r="AB40" i="6"/>
  <c r="AB41" i="6"/>
  <c r="AB42" i="6"/>
  <c r="AB43" i="6"/>
  <c r="AB44" i="6"/>
  <c r="AB45" i="6"/>
  <c r="AB46" i="6"/>
  <c r="AB47" i="6"/>
  <c r="AB48" i="6"/>
  <c r="AB49" i="6"/>
  <c r="AB50" i="6"/>
  <c r="AB7" i="6"/>
  <c r="W8" i="6"/>
  <c r="W9" i="6"/>
  <c r="W10" i="6"/>
  <c r="W11" i="6"/>
  <c r="W12" i="6"/>
  <c r="W13" i="6"/>
  <c r="W14" i="6"/>
  <c r="W15" i="6"/>
  <c r="W16" i="6" s="1"/>
  <c r="W17" i="6" s="1"/>
  <c r="W18" i="6" s="1"/>
  <c r="W19" i="6" s="1"/>
  <c r="W20" i="6" s="1"/>
  <c r="W21" i="6" s="1"/>
  <c r="W22" i="6" s="1"/>
  <c r="W23" i="6" s="1"/>
  <c r="W24" i="6" s="1"/>
  <c r="W25" i="6" s="1"/>
  <c r="W26" i="6" s="1"/>
  <c r="W27" i="6" s="1"/>
  <c r="W28" i="6" s="1"/>
  <c r="W29" i="6" s="1"/>
  <c r="W30" i="6" s="1"/>
  <c r="W31" i="6" s="1"/>
  <c r="W32" i="6" s="1"/>
  <c r="W33" i="6" s="1"/>
  <c r="W34" i="6" s="1"/>
  <c r="W35" i="6" s="1"/>
  <c r="W36" i="6" s="1"/>
  <c r="W37" i="6" s="1"/>
  <c r="W38" i="6" s="1"/>
  <c r="W39" i="6" s="1"/>
  <c r="W40" i="6" s="1"/>
  <c r="W41" i="6" s="1"/>
  <c r="W42" i="6" s="1"/>
  <c r="W43" i="6" s="1"/>
  <c r="W44" i="6" s="1"/>
  <c r="W45" i="6" s="1"/>
  <c r="W46" i="6" s="1"/>
  <c r="W47" i="6" s="1"/>
  <c r="W48" i="6" s="1"/>
  <c r="W49" i="6" s="1"/>
  <c r="W50" i="6" s="1"/>
  <c r="W7" i="6"/>
  <c r="B19" i="3"/>
  <c r="I7" i="4"/>
  <c r="I6" i="4"/>
  <c r="H7" i="4"/>
  <c r="H6" i="4"/>
  <c r="U6" i="4"/>
  <c r="J6" i="4" a="1"/>
  <c r="G6" i="3" a="1"/>
  <c r="T6" i="4" a="1"/>
  <c r="S6" i="4" a="1"/>
  <c r="Q6" i="4" a="1"/>
  <c r="P6" i="4" a="1"/>
  <c r="N6" i="4" a="1"/>
  <c r="M6" i="4" a="1"/>
  <c r="J6" i="3" a="1"/>
  <c r="I6" i="3" a="1"/>
  <c r="H6" i="3" a="1"/>
  <c r="M7" i="5" a="1"/>
  <c r="M11" i="5" a="1"/>
  <c r="M15" i="5" a="1"/>
  <c r="M19" i="5" a="1"/>
  <c r="M23" i="5" a="1"/>
  <c r="M27" i="5" a="1"/>
  <c r="M31" i="5" a="1"/>
  <c r="M35" i="5" a="1"/>
  <c r="M39" i="5" a="1"/>
  <c r="M43" i="5" a="1"/>
  <c r="M47" i="5" a="1"/>
  <c r="M12" i="5" a="1"/>
  <c r="M20" i="5" a="1"/>
  <c r="M28" i="5" a="1"/>
  <c r="M36" i="5" a="1"/>
  <c r="M44" i="5" a="1"/>
  <c r="M9" i="5" a="1"/>
  <c r="M21" i="5" a="1"/>
  <c r="M29" i="5" a="1"/>
  <c r="M37" i="5" a="1"/>
  <c r="M41" i="5" a="1"/>
  <c r="M49" i="5" a="1"/>
  <c r="M10" i="5" a="1"/>
  <c r="M18" i="5" a="1"/>
  <c r="M26" i="5" a="1"/>
  <c r="M34" i="5" a="1"/>
  <c r="M42" i="5" a="1"/>
  <c r="M50" i="5" a="1"/>
  <c r="M8" i="5" a="1"/>
  <c r="M16" i="5" a="1"/>
  <c r="M24" i="5" a="1"/>
  <c r="M32" i="5" a="1"/>
  <c r="M40" i="5" a="1"/>
  <c r="M48" i="5" a="1"/>
  <c r="M13" i="5" a="1"/>
  <c r="M17" i="5" a="1"/>
  <c r="M25" i="5" a="1"/>
  <c r="M33" i="5" a="1"/>
  <c r="M45" i="5" a="1"/>
  <c r="M14" i="5" a="1"/>
  <c r="M22" i="5" a="1"/>
  <c r="M30" i="5" a="1"/>
  <c r="M38" i="5" a="1"/>
  <c r="M46" i="5" a="1"/>
  <c r="M6" i="5" a="1"/>
  <c r="J7" i="5" a="1"/>
  <c r="J11" i="5" a="1"/>
  <c r="J15" i="5" a="1"/>
  <c r="J19" i="5" a="1"/>
  <c r="J23" i="5" a="1"/>
  <c r="J27" i="5" a="1"/>
  <c r="J31" i="5" a="1"/>
  <c r="J35" i="5" a="1"/>
  <c r="J39" i="5" a="1"/>
  <c r="J43" i="5" a="1"/>
  <c r="J47" i="5" a="1"/>
  <c r="J12" i="5" a="1"/>
  <c r="J16" i="5" a="1"/>
  <c r="J20" i="5" a="1"/>
  <c r="J24" i="5" a="1"/>
  <c r="J28" i="5" a="1"/>
  <c r="J32" i="5" a="1"/>
  <c r="J40" i="5" a="1"/>
  <c r="J44" i="5" a="1"/>
  <c r="J9" i="5" a="1"/>
  <c r="J21" i="5" a="1"/>
  <c r="J29" i="5" a="1"/>
  <c r="J37" i="5" a="1"/>
  <c r="J45" i="5" a="1"/>
  <c r="J14" i="5" a="1"/>
  <c r="J22" i="5" a="1"/>
  <c r="J30" i="5" a="1"/>
  <c r="J38" i="5" a="1"/>
  <c r="J46" i="5" a="1"/>
  <c r="J8" i="5" a="1"/>
  <c r="J36" i="5" a="1"/>
  <c r="J48" i="5" a="1"/>
  <c r="J13" i="5" a="1"/>
  <c r="J17" i="5" a="1"/>
  <c r="J25" i="5" a="1"/>
  <c r="J33" i="5" a="1"/>
  <c r="J41" i="5" a="1"/>
  <c r="J49" i="5" a="1"/>
  <c r="J10" i="5" a="1"/>
  <c r="J18" i="5" a="1"/>
  <c r="J26" i="5" a="1"/>
  <c r="J34" i="5" a="1"/>
  <c r="J42" i="5" a="1"/>
  <c r="J50" i="5" a="1"/>
  <c r="J6" i="5" a="1"/>
  <c r="I7" i="5" a="1"/>
  <c r="I11" i="5" a="1"/>
  <c r="I15" i="5" a="1"/>
  <c r="I19" i="5" a="1"/>
  <c r="I23" i="5" a="1"/>
  <c r="I27" i="5" a="1"/>
  <c r="I31" i="5" a="1"/>
  <c r="I35" i="5" a="1"/>
  <c r="I39" i="5" a="1"/>
  <c r="I43" i="5" a="1"/>
  <c r="I47" i="5" a="1"/>
  <c r="I8" i="5" a="1"/>
  <c r="I16" i="5" a="1"/>
  <c r="I20" i="5" a="1"/>
  <c r="I24" i="5" a="1"/>
  <c r="I28" i="5" a="1"/>
  <c r="I32" i="5" a="1"/>
  <c r="I36" i="5" a="1"/>
  <c r="I40" i="5" a="1"/>
  <c r="I48" i="5" a="1"/>
  <c r="I9" i="5" a="1"/>
  <c r="I17" i="5" a="1"/>
  <c r="I25" i="5" a="1"/>
  <c r="I37" i="5" a="1"/>
  <c r="I45" i="5" a="1"/>
  <c r="I10" i="5" a="1"/>
  <c r="I22" i="5" a="1"/>
  <c r="I30" i="5" a="1"/>
  <c r="I38" i="5" a="1"/>
  <c r="I46" i="5" a="1"/>
  <c r="I12" i="5" a="1"/>
  <c r="I44" i="5" a="1"/>
  <c r="I13" i="5" a="1"/>
  <c r="I21" i="5" a="1"/>
  <c r="I29" i="5" a="1"/>
  <c r="I33" i="5" a="1"/>
  <c r="I41" i="5" a="1"/>
  <c r="I49" i="5" a="1"/>
  <c r="I14" i="5" a="1"/>
  <c r="I18" i="5" a="1"/>
  <c r="I26" i="5" a="1"/>
  <c r="I34" i="5" a="1"/>
  <c r="I42" i="5" a="1"/>
  <c r="I50" i="5" a="1"/>
  <c r="I6" i="5" a="1"/>
  <c r="H7" i="5" a="1"/>
  <c r="H11" i="5" a="1"/>
  <c r="H15" i="5" a="1"/>
  <c r="H19" i="5" a="1"/>
  <c r="H23" i="5" a="1"/>
  <c r="H27" i="5" a="1"/>
  <c r="H31" i="5" a="1"/>
  <c r="H35" i="5" a="1"/>
  <c r="H39" i="5" a="1"/>
  <c r="H43" i="5" a="1"/>
  <c r="H47" i="5" a="1"/>
  <c r="H8" i="5" a="1"/>
  <c r="H16" i="5" a="1"/>
  <c r="H20" i="5" a="1"/>
  <c r="H24" i="5" a="1"/>
  <c r="H28" i="5" a="1"/>
  <c r="H32" i="5" a="1"/>
  <c r="H36" i="5" a="1"/>
  <c r="H40" i="5" a="1"/>
  <c r="H44" i="5" a="1"/>
  <c r="H48" i="5" a="1"/>
  <c r="H13" i="5" a="1"/>
  <c r="H17" i="5" a="1"/>
  <c r="H25" i="5" a="1"/>
  <c r="H33" i="5" a="1"/>
  <c r="H41" i="5" a="1"/>
  <c r="H49" i="5" a="1"/>
  <c r="H10" i="5" a="1"/>
  <c r="H18" i="5" a="1"/>
  <c r="H30" i="5" a="1"/>
  <c r="H38" i="5" a="1"/>
  <c r="H46" i="5" a="1"/>
  <c r="H12" i="5" a="1"/>
  <c r="H9" i="5" a="1"/>
  <c r="H21" i="5" a="1"/>
  <c r="H29" i="5" a="1"/>
  <c r="H37" i="5" a="1"/>
  <c r="H45" i="5" a="1"/>
  <c r="H14" i="5" a="1"/>
  <c r="H22" i="5" a="1"/>
  <c r="H26" i="5" a="1"/>
  <c r="H34" i="5" a="1"/>
  <c r="H42" i="5" a="1"/>
  <c r="H50" i="5" a="1"/>
  <c r="H6" i="5" a="1"/>
  <c r="G7" i="5" a="1"/>
  <c r="G11" i="5" a="1"/>
  <c r="G15" i="5" a="1"/>
  <c r="G19" i="5" a="1"/>
  <c r="G23" i="5" a="1"/>
  <c r="G27" i="5" a="1"/>
  <c r="G31" i="5" a="1"/>
  <c r="G35" i="5" a="1"/>
  <c r="G39" i="5" a="1"/>
  <c r="G43" i="5" a="1"/>
  <c r="G47" i="5" a="1"/>
  <c r="G9" i="5" a="1"/>
  <c r="G21" i="5" a="1"/>
  <c r="G29" i="5" a="1"/>
  <c r="G41" i="5" a="1"/>
  <c r="G49" i="5" a="1"/>
  <c r="G14" i="5" a="1"/>
  <c r="G22" i="5" a="1"/>
  <c r="G30" i="5" a="1"/>
  <c r="G38" i="5" a="1"/>
  <c r="G46" i="5" a="1"/>
  <c r="G33" i="5" a="1"/>
  <c r="G8" i="5" a="1"/>
  <c r="G12" i="5" a="1"/>
  <c r="G16" i="5" a="1"/>
  <c r="G20" i="5" a="1"/>
  <c r="G24" i="5" a="1"/>
  <c r="G28" i="5" a="1"/>
  <c r="G32" i="5" a="1"/>
  <c r="G36" i="5" a="1"/>
  <c r="G40" i="5" a="1"/>
  <c r="G44" i="5" a="1"/>
  <c r="G48" i="5" a="1"/>
  <c r="G13" i="5" a="1"/>
  <c r="G17" i="5" a="1"/>
  <c r="G25" i="5" a="1"/>
  <c r="G37" i="5" a="1"/>
  <c r="G45" i="5" a="1"/>
  <c r="G10" i="5" a="1"/>
  <c r="G18" i="5" a="1"/>
  <c r="G26" i="5" a="1"/>
  <c r="G34" i="5" a="1"/>
  <c r="G42" i="5" a="1"/>
  <c r="G50" i="5" a="1"/>
  <c r="G6" i="5" a="1"/>
  <c r="N19" i="3" a="1"/>
  <c r="N18" i="4" a="1"/>
  <c r="K6" i="4" a="1"/>
  <c r="K6" i="4" l="1"/>
  <c r="L6" i="4" s="1"/>
  <c r="B18" i="4" s="1"/>
  <c r="N18" i="4"/>
  <c r="N19" i="3"/>
  <c r="M46" i="5"/>
  <c r="M38" i="5"/>
  <c r="M30" i="5"/>
  <c r="M22" i="5"/>
  <c r="M14" i="5"/>
  <c r="M45" i="5"/>
  <c r="M33" i="5"/>
  <c r="M25" i="5"/>
  <c r="M17" i="5"/>
  <c r="M13" i="5"/>
  <c r="M48" i="5"/>
  <c r="M40" i="5"/>
  <c r="M32" i="5"/>
  <c r="M24" i="5"/>
  <c r="M16" i="5"/>
  <c r="M8" i="5"/>
  <c r="M50" i="5"/>
  <c r="M42" i="5"/>
  <c r="M34" i="5"/>
  <c r="M26" i="5"/>
  <c r="M18" i="5"/>
  <c r="M10" i="5"/>
  <c r="M49" i="5"/>
  <c r="M41" i="5"/>
  <c r="M37" i="5"/>
  <c r="M29" i="5"/>
  <c r="M21" i="5"/>
  <c r="M9" i="5"/>
  <c r="M44" i="5"/>
  <c r="M36" i="5"/>
  <c r="M28" i="5"/>
  <c r="M20" i="5"/>
  <c r="M12" i="5"/>
  <c r="M47" i="5"/>
  <c r="M43" i="5"/>
  <c r="M39" i="5"/>
  <c r="M35" i="5"/>
  <c r="M31" i="5"/>
  <c r="M27" i="5"/>
  <c r="M23" i="5"/>
  <c r="M19" i="5"/>
  <c r="M15" i="5"/>
  <c r="M11" i="5"/>
  <c r="M7" i="5"/>
  <c r="M6" i="5"/>
  <c r="J50" i="5"/>
  <c r="J42" i="5"/>
  <c r="J34" i="5"/>
  <c r="J26" i="5"/>
  <c r="J18" i="5"/>
  <c r="J10" i="5"/>
  <c r="Y11" i="5" s="1"/>
  <c r="J49" i="5"/>
  <c r="Y50" i="5" s="1"/>
  <c r="J41" i="5"/>
  <c r="Y42" i="5" s="1"/>
  <c r="J33" i="5"/>
  <c r="J25" i="5"/>
  <c r="J17" i="5"/>
  <c r="J13" i="5"/>
  <c r="J48" i="5"/>
  <c r="Y49" i="5" s="1"/>
  <c r="J36" i="5"/>
  <c r="J8" i="5"/>
  <c r="Y9" i="5" s="1"/>
  <c r="J46" i="5"/>
  <c r="Y47" i="5" s="1"/>
  <c r="J38" i="5"/>
  <c r="J30" i="5"/>
  <c r="J22" i="5"/>
  <c r="Y23" i="5" s="1"/>
  <c r="J14" i="5"/>
  <c r="Y15" i="5" s="1"/>
  <c r="J45" i="5"/>
  <c r="J37" i="5"/>
  <c r="J29" i="5"/>
  <c r="J21" i="5"/>
  <c r="J9" i="5"/>
  <c r="J44" i="5"/>
  <c r="J40" i="5"/>
  <c r="J32" i="5"/>
  <c r="Y33" i="5" s="1"/>
  <c r="J28" i="5"/>
  <c r="J24" i="5"/>
  <c r="Y25" i="5" s="1"/>
  <c r="J20" i="5"/>
  <c r="J16" i="5"/>
  <c r="Y17" i="5" s="1"/>
  <c r="J12" i="5"/>
  <c r="J47" i="5"/>
  <c r="J43" i="5"/>
  <c r="J39" i="5"/>
  <c r="Y40" i="5" s="1"/>
  <c r="J35" i="5"/>
  <c r="J31" i="5"/>
  <c r="Y32" i="5" s="1"/>
  <c r="J27" i="5"/>
  <c r="Y28" i="5" s="1"/>
  <c r="J23" i="5"/>
  <c r="Y24" i="5" s="1"/>
  <c r="J19" i="5"/>
  <c r="J15" i="5"/>
  <c r="J11" i="5"/>
  <c r="J7" i="5"/>
  <c r="Y8" i="5" s="1"/>
  <c r="J6" i="5"/>
  <c r="I50" i="5"/>
  <c r="I42" i="5"/>
  <c r="I34" i="5"/>
  <c r="W35" i="5" s="1"/>
  <c r="I26" i="5"/>
  <c r="I18" i="5"/>
  <c r="W19" i="5" s="1"/>
  <c r="I14" i="5"/>
  <c r="I49" i="5"/>
  <c r="W50" i="5" s="1"/>
  <c r="I41" i="5"/>
  <c r="W42" i="5" s="1"/>
  <c r="I33" i="5"/>
  <c r="I29" i="5"/>
  <c r="I21" i="5"/>
  <c r="I13" i="5"/>
  <c r="I44" i="5"/>
  <c r="W45" i="5" s="1"/>
  <c r="I12" i="5"/>
  <c r="I46" i="5"/>
  <c r="I38" i="5"/>
  <c r="I30" i="5"/>
  <c r="I22" i="5"/>
  <c r="I10" i="5"/>
  <c r="I45" i="5"/>
  <c r="I37" i="5"/>
  <c r="I25" i="5"/>
  <c r="W26" i="5" s="1"/>
  <c r="I17" i="5"/>
  <c r="I9" i="5"/>
  <c r="W10" i="5" s="1"/>
  <c r="I48" i="5"/>
  <c r="I40" i="5"/>
  <c r="I36" i="5"/>
  <c r="I32" i="5"/>
  <c r="I28" i="5"/>
  <c r="I24" i="5"/>
  <c r="W25" i="5" s="1"/>
  <c r="I20" i="5"/>
  <c r="I16" i="5"/>
  <c r="I8" i="5"/>
  <c r="I47" i="5"/>
  <c r="I43" i="5"/>
  <c r="I39" i="5"/>
  <c r="I35" i="5"/>
  <c r="I31" i="5"/>
  <c r="I27" i="5"/>
  <c r="I23" i="5"/>
  <c r="I19" i="5"/>
  <c r="I15" i="5"/>
  <c r="I11" i="5"/>
  <c r="I7" i="5"/>
  <c r="W8" i="5" s="1"/>
  <c r="I6" i="5"/>
  <c r="H50" i="5"/>
  <c r="H42" i="5"/>
  <c r="H34" i="5"/>
  <c r="H26" i="5"/>
  <c r="H22" i="5"/>
  <c r="W23" i="5" s="1"/>
  <c r="H14" i="5"/>
  <c r="H45" i="5"/>
  <c r="W46" i="5" s="1"/>
  <c r="H37" i="5"/>
  <c r="W38" i="5" s="1"/>
  <c r="H29" i="5"/>
  <c r="H21" i="5"/>
  <c r="H9" i="5"/>
  <c r="H12" i="5"/>
  <c r="H46" i="5"/>
  <c r="H38" i="5"/>
  <c r="H30" i="5"/>
  <c r="W31" i="5" s="1"/>
  <c r="H18" i="5"/>
  <c r="H10" i="5"/>
  <c r="H49" i="5"/>
  <c r="H41" i="5"/>
  <c r="H33" i="5"/>
  <c r="H25" i="5"/>
  <c r="H17" i="5"/>
  <c r="H13" i="5"/>
  <c r="W14" i="5" s="1"/>
  <c r="H48" i="5"/>
  <c r="W49" i="5" s="1"/>
  <c r="H44" i="5"/>
  <c r="H40" i="5"/>
  <c r="H36" i="5"/>
  <c r="H32" i="5"/>
  <c r="H28" i="5"/>
  <c r="H24" i="5"/>
  <c r="H20" i="5"/>
  <c r="H16" i="5"/>
  <c r="H8" i="5"/>
  <c r="H47" i="5"/>
  <c r="H43" i="5"/>
  <c r="H39" i="5"/>
  <c r="H35" i="5"/>
  <c r="H31" i="5"/>
  <c r="H27" i="5"/>
  <c r="H23" i="5"/>
  <c r="H19" i="5"/>
  <c r="H15" i="5"/>
  <c r="H11" i="5"/>
  <c r="H7" i="5"/>
  <c r="H6" i="5"/>
  <c r="G50" i="5"/>
  <c r="G42" i="5"/>
  <c r="G34" i="5"/>
  <c r="G26" i="5"/>
  <c r="G18" i="5"/>
  <c r="G10" i="5"/>
  <c r="U11" i="5" s="1"/>
  <c r="G45" i="5"/>
  <c r="G37" i="5"/>
  <c r="G25" i="5"/>
  <c r="G17" i="5"/>
  <c r="G13" i="5"/>
  <c r="G48" i="5"/>
  <c r="U49" i="5" s="1"/>
  <c r="G44" i="5"/>
  <c r="G40" i="5"/>
  <c r="U41" i="5" s="1"/>
  <c r="G36" i="5"/>
  <c r="G32" i="5"/>
  <c r="U33" i="5" s="1"/>
  <c r="G28" i="5"/>
  <c r="G24" i="5"/>
  <c r="G20" i="5"/>
  <c r="G16" i="5"/>
  <c r="U17" i="5" s="1"/>
  <c r="G12" i="5"/>
  <c r="G8" i="5"/>
  <c r="U9" i="5" s="1"/>
  <c r="G33" i="5"/>
  <c r="U34" i="5" s="1"/>
  <c r="G46" i="5"/>
  <c r="U47" i="5" s="1"/>
  <c r="G38" i="5"/>
  <c r="G30" i="5"/>
  <c r="G22" i="5"/>
  <c r="G14" i="5"/>
  <c r="U15" i="5" s="1"/>
  <c r="G49" i="5"/>
  <c r="U50" i="5" s="1"/>
  <c r="G41" i="5"/>
  <c r="U42" i="5" s="1"/>
  <c r="G29" i="5"/>
  <c r="G21" i="5"/>
  <c r="G9" i="5"/>
  <c r="G47" i="5"/>
  <c r="G43" i="5"/>
  <c r="G39" i="5"/>
  <c r="U40" i="5" s="1"/>
  <c r="G35" i="5"/>
  <c r="G31" i="5"/>
  <c r="U32" i="5" s="1"/>
  <c r="G27" i="5"/>
  <c r="U28" i="5" s="1"/>
  <c r="G23" i="5"/>
  <c r="U24" i="5" s="1"/>
  <c r="G19" i="5"/>
  <c r="G15" i="5"/>
  <c r="G11" i="5"/>
  <c r="G7" i="5"/>
  <c r="U8" i="5" s="1"/>
  <c r="G6" i="5"/>
  <c r="J6" i="4"/>
  <c r="G6" i="3"/>
  <c r="T6" i="4"/>
  <c r="S6" i="4"/>
  <c r="Q6" i="4"/>
  <c r="P6" i="4"/>
  <c r="N6" i="4"/>
  <c r="M6" i="4"/>
  <c r="J6" i="3"/>
  <c r="I6" i="3"/>
  <c r="H6" i="3"/>
  <c r="N22" i="3"/>
  <c r="Y8" i="6"/>
  <c r="Y9" i="6"/>
  <c r="Y10" i="6"/>
  <c r="Y11" i="6"/>
  <c r="Y12" i="6"/>
  <c r="Y13" i="6"/>
  <c r="Y14" i="6"/>
  <c r="Y15" i="6"/>
  <c r="Y16" i="6"/>
  <c r="Y17" i="6"/>
  <c r="Y18" i="6"/>
  <c r="Y19" i="6"/>
  <c r="Y20" i="6"/>
  <c r="Y21" i="6"/>
  <c r="Y22" i="6"/>
  <c r="Y23" i="6"/>
  <c r="Y24" i="6"/>
  <c r="Y25" i="6"/>
  <c r="Y26" i="6"/>
  <c r="Y27" i="6"/>
  <c r="Y28" i="6"/>
  <c r="Y29" i="6"/>
  <c r="Y30" i="6"/>
  <c r="Y31" i="6"/>
  <c r="Y32" i="6"/>
  <c r="Y33" i="6"/>
  <c r="Y34" i="6"/>
  <c r="Y35" i="6"/>
  <c r="Y36" i="6"/>
  <c r="Y37" i="6"/>
  <c r="Y38" i="6"/>
  <c r="Y39" i="6"/>
  <c r="Y40" i="6"/>
  <c r="Y41" i="6"/>
  <c r="Y42" i="6"/>
  <c r="Y43" i="6"/>
  <c r="Y44" i="6"/>
  <c r="Y45" i="6"/>
  <c r="Y46" i="6"/>
  <c r="Y47" i="6"/>
  <c r="Y48" i="6"/>
  <c r="Y49" i="6"/>
  <c r="Y50" i="6"/>
  <c r="Y7" i="6"/>
  <c r="X8" i="6"/>
  <c r="X9" i="6"/>
  <c r="X10" i="6"/>
  <c r="X11" i="6"/>
  <c r="X12" i="6"/>
  <c r="X13" i="6"/>
  <c r="X14" i="6"/>
  <c r="X15" i="6"/>
  <c r="X16" i="6"/>
  <c r="X17" i="6"/>
  <c r="X18" i="6"/>
  <c r="X19" i="6"/>
  <c r="X20" i="6"/>
  <c r="X21" i="6"/>
  <c r="X22" i="6"/>
  <c r="X23" i="6"/>
  <c r="X24" i="6"/>
  <c r="X25" i="6"/>
  <c r="X26" i="6"/>
  <c r="X27" i="6"/>
  <c r="X28" i="6"/>
  <c r="X29" i="6"/>
  <c r="X30" i="6"/>
  <c r="X31" i="6"/>
  <c r="X32" i="6"/>
  <c r="X33" i="6"/>
  <c r="X34" i="6"/>
  <c r="X35" i="6"/>
  <c r="X36" i="6"/>
  <c r="X37" i="6"/>
  <c r="X38" i="6"/>
  <c r="X39" i="6"/>
  <c r="X40" i="6"/>
  <c r="X41" i="6"/>
  <c r="X42" i="6"/>
  <c r="X43" i="6"/>
  <c r="X44" i="6"/>
  <c r="X45" i="6"/>
  <c r="X46" i="6"/>
  <c r="X47" i="6"/>
  <c r="X48" i="6"/>
  <c r="X49" i="6"/>
  <c r="X50" i="6"/>
  <c r="X7" i="6"/>
  <c r="V8" i="6"/>
  <c r="V9" i="6"/>
  <c r="V10" i="6"/>
  <c r="V11" i="6"/>
  <c r="V12" i="6"/>
  <c r="V13" i="6"/>
  <c r="V14" i="6"/>
  <c r="V15" i="6"/>
  <c r="V16" i="6"/>
  <c r="V17" i="6"/>
  <c r="V18" i="6"/>
  <c r="V19" i="6"/>
  <c r="V20" i="6"/>
  <c r="V21" i="6"/>
  <c r="V22" i="6"/>
  <c r="V23" i="6"/>
  <c r="V24" i="6"/>
  <c r="V25" i="6"/>
  <c r="V26" i="6"/>
  <c r="V27" i="6"/>
  <c r="V28" i="6"/>
  <c r="V29" i="6"/>
  <c r="V30" i="6"/>
  <c r="V31" i="6"/>
  <c r="V32" i="6"/>
  <c r="V33" i="6"/>
  <c r="V34" i="6"/>
  <c r="V35" i="6"/>
  <c r="V36" i="6"/>
  <c r="V37" i="6"/>
  <c r="V38" i="6"/>
  <c r="V39" i="6"/>
  <c r="V40" i="6"/>
  <c r="V41" i="6"/>
  <c r="V42" i="6"/>
  <c r="V43" i="6"/>
  <c r="V44" i="6"/>
  <c r="V45" i="6"/>
  <c r="V46" i="6"/>
  <c r="V47" i="6"/>
  <c r="V48" i="6"/>
  <c r="V49" i="6"/>
  <c r="V50" i="6"/>
  <c r="V7" i="6"/>
  <c r="Z7" i="5"/>
  <c r="Y10" i="5"/>
  <c r="Y12" i="5"/>
  <c r="Y13" i="5"/>
  <c r="Y14" i="5"/>
  <c r="Y16" i="5"/>
  <c r="Y18" i="5"/>
  <c r="Y19" i="5"/>
  <c r="Y20" i="5"/>
  <c r="Y21" i="5"/>
  <c r="Y22" i="5"/>
  <c r="Y26" i="5"/>
  <c r="Y27" i="5"/>
  <c r="Y29" i="5"/>
  <c r="Y30" i="5"/>
  <c r="Y31" i="5"/>
  <c r="Y34" i="5"/>
  <c r="Y35" i="5"/>
  <c r="Y36" i="5"/>
  <c r="Y37" i="5"/>
  <c r="Y38" i="5"/>
  <c r="Y39" i="5"/>
  <c r="Y41" i="5"/>
  <c r="Y43" i="5"/>
  <c r="Y44" i="5"/>
  <c r="Y45" i="5"/>
  <c r="Y46" i="5"/>
  <c r="Y48" i="5"/>
  <c r="Y7" i="5"/>
  <c r="W9" i="5"/>
  <c r="W11" i="5"/>
  <c r="W12" i="5"/>
  <c r="W16" i="5"/>
  <c r="W18" i="5"/>
  <c r="W20" i="5"/>
  <c r="W22" i="5"/>
  <c r="W27" i="5"/>
  <c r="W30" i="5"/>
  <c r="W33" i="5"/>
  <c r="W34" i="5"/>
  <c r="W37" i="5"/>
  <c r="W40" i="5"/>
  <c r="W41" i="5"/>
  <c r="W43" i="5"/>
  <c r="W44" i="5"/>
  <c r="W48" i="5"/>
  <c r="W7" i="5"/>
  <c r="X7" i="5" s="1"/>
  <c r="U10" i="5"/>
  <c r="U12" i="5"/>
  <c r="U13" i="5"/>
  <c r="U14" i="5"/>
  <c r="U16" i="5"/>
  <c r="U18" i="5"/>
  <c r="U19" i="5"/>
  <c r="U20" i="5"/>
  <c r="AA20" i="5" s="1"/>
  <c r="U21" i="5"/>
  <c r="U22" i="5"/>
  <c r="U23" i="5"/>
  <c r="U25" i="5"/>
  <c r="U26" i="5"/>
  <c r="U27" i="5"/>
  <c r="U29" i="5"/>
  <c r="U30" i="5"/>
  <c r="U31" i="5"/>
  <c r="U35" i="5"/>
  <c r="U36" i="5"/>
  <c r="U37" i="5"/>
  <c r="U38" i="5"/>
  <c r="U39" i="5"/>
  <c r="U43" i="5"/>
  <c r="U44" i="5"/>
  <c r="U45" i="5"/>
  <c r="U46" i="5"/>
  <c r="U48" i="5"/>
  <c r="U7" i="5"/>
  <c r="V7" i="5" s="1"/>
  <c r="T8" i="5"/>
  <c r="T9" i="5" s="1"/>
  <c r="T10" i="5" s="1"/>
  <c r="T11" i="5" s="1"/>
  <c r="T12" i="5" s="1"/>
  <c r="T13" i="5" s="1"/>
  <c r="T14" i="5" s="1"/>
  <c r="T15" i="5" s="1"/>
  <c r="T16" i="5" s="1"/>
  <c r="T17" i="5" s="1"/>
  <c r="T18" i="5" s="1"/>
  <c r="T19" i="5" s="1"/>
  <c r="T20" i="5" s="1"/>
  <c r="T21" i="5" s="1"/>
  <c r="T22" i="5" s="1"/>
  <c r="T23" i="5" s="1"/>
  <c r="T24" i="5" s="1"/>
  <c r="T25" i="5" s="1"/>
  <c r="T26" i="5" s="1"/>
  <c r="T27" i="5" s="1"/>
  <c r="T28" i="5" s="1"/>
  <c r="T29" i="5" s="1"/>
  <c r="T30" i="5" s="1"/>
  <c r="T31" i="5" s="1"/>
  <c r="T32" i="5" s="1"/>
  <c r="T33" i="5" s="1"/>
  <c r="T34" i="5" s="1"/>
  <c r="T35" i="5" s="1"/>
  <c r="T36" i="5" s="1"/>
  <c r="T37" i="5" s="1"/>
  <c r="T38" i="5" s="1"/>
  <c r="T39" i="5" s="1"/>
  <c r="T40" i="5" s="1"/>
  <c r="T41" i="5" s="1"/>
  <c r="T42" i="5" s="1"/>
  <c r="T43" i="5" s="1"/>
  <c r="T44" i="5" s="1"/>
  <c r="T45" i="5" s="1"/>
  <c r="T46" i="5" s="1"/>
  <c r="T47" i="5" s="1"/>
  <c r="T48" i="5" s="1"/>
  <c r="T49" i="5" s="1"/>
  <c r="T50" i="5" s="1"/>
  <c r="T7" i="5"/>
  <c r="S8" i="5"/>
  <c r="S9" i="5"/>
  <c r="S10" i="5"/>
  <c r="S11" i="5"/>
  <c r="S12" i="5"/>
  <c r="S13" i="5"/>
  <c r="S14" i="5"/>
  <c r="S15" i="5"/>
  <c r="S16" i="5"/>
  <c r="S17" i="5"/>
  <c r="S18" i="5"/>
  <c r="S19" i="5"/>
  <c r="S20" i="5"/>
  <c r="S21" i="5"/>
  <c r="S22" i="5"/>
  <c r="S23" i="5"/>
  <c r="S24" i="5"/>
  <c r="S25" i="5"/>
  <c r="S26" i="5"/>
  <c r="S27" i="5"/>
  <c r="S28" i="5"/>
  <c r="S29" i="5"/>
  <c r="S30" i="5"/>
  <c r="S31" i="5"/>
  <c r="S32" i="5"/>
  <c r="S33" i="5"/>
  <c r="S34" i="5"/>
  <c r="S35" i="5"/>
  <c r="S36" i="5"/>
  <c r="S37" i="5"/>
  <c r="S38" i="5"/>
  <c r="S39" i="5"/>
  <c r="S40" i="5"/>
  <c r="S41" i="5"/>
  <c r="S42" i="5"/>
  <c r="S43" i="5"/>
  <c r="S44" i="5"/>
  <c r="S45" i="5"/>
  <c r="S46" i="5"/>
  <c r="S47" i="5"/>
  <c r="S48" i="5"/>
  <c r="S49" i="5"/>
  <c r="S50" i="5"/>
  <c r="S7" i="5"/>
  <c r="R8" i="5"/>
  <c r="R9" i="5"/>
  <c r="R10" i="5"/>
  <c r="R11" i="5"/>
  <c r="R12" i="5"/>
  <c r="R13" i="5"/>
  <c r="R14" i="5"/>
  <c r="R15" i="5"/>
  <c r="R16" i="5"/>
  <c r="R17" i="5"/>
  <c r="R18" i="5"/>
  <c r="R19" i="5"/>
  <c r="R20" i="5"/>
  <c r="R21" i="5"/>
  <c r="R22" i="5"/>
  <c r="R23" i="5"/>
  <c r="R24" i="5"/>
  <c r="R25" i="5"/>
  <c r="R26" i="5"/>
  <c r="R27" i="5"/>
  <c r="R28" i="5"/>
  <c r="R29" i="5"/>
  <c r="R30" i="5"/>
  <c r="R31" i="5"/>
  <c r="R32" i="5"/>
  <c r="R33" i="5"/>
  <c r="R34" i="5"/>
  <c r="R35" i="5"/>
  <c r="R36" i="5"/>
  <c r="R37" i="5"/>
  <c r="R38" i="5"/>
  <c r="R39" i="5"/>
  <c r="R40" i="5"/>
  <c r="R41" i="5"/>
  <c r="R42" i="5"/>
  <c r="R43" i="5"/>
  <c r="R44" i="5"/>
  <c r="R45" i="5"/>
  <c r="R46" i="5"/>
  <c r="R47" i="5"/>
  <c r="R48" i="5"/>
  <c r="R49" i="5"/>
  <c r="R50" i="5"/>
  <c r="R7" i="5"/>
  <c r="Q8" i="5"/>
  <c r="Q9" i="5"/>
  <c r="Q10" i="5"/>
  <c r="Q11" i="5"/>
  <c r="Q12" i="5"/>
  <c r="Q13" i="5"/>
  <c r="Q14" i="5"/>
  <c r="Q15" i="5"/>
  <c r="Q16" i="5" s="1"/>
  <c r="Q17" i="5" s="1"/>
  <c r="Q18" i="5" s="1"/>
  <c r="Q19" i="5" s="1"/>
  <c r="Q20" i="5" s="1"/>
  <c r="Q21" i="5" s="1"/>
  <c r="Q22" i="5" s="1"/>
  <c r="Q23" i="5" s="1"/>
  <c r="Q24" i="5" s="1"/>
  <c r="Q25" i="5" s="1"/>
  <c r="Q26" i="5" s="1"/>
  <c r="Q27" i="5" s="1"/>
  <c r="Q28" i="5" s="1"/>
  <c r="Q29" i="5" s="1"/>
  <c r="Q30" i="5" s="1"/>
  <c r="Q31" i="5" s="1"/>
  <c r="Q32" i="5" s="1"/>
  <c r="Q33" i="5" s="1"/>
  <c r="Q34" i="5" s="1"/>
  <c r="Q35" i="5" s="1"/>
  <c r="Q36" i="5" s="1"/>
  <c r="Q37" i="5" s="1"/>
  <c r="Q38" i="5" s="1"/>
  <c r="Q39" i="5" s="1"/>
  <c r="Q40" i="5" s="1"/>
  <c r="Q41" i="5" s="1"/>
  <c r="Q42" i="5" s="1"/>
  <c r="Q43" i="5" s="1"/>
  <c r="Q44" i="5" s="1"/>
  <c r="Q45" i="5" s="1"/>
  <c r="Q46" i="5" s="1"/>
  <c r="Q47" i="5" s="1"/>
  <c r="Q48" i="5" s="1"/>
  <c r="Q49" i="5" s="1"/>
  <c r="Q50" i="5" s="1"/>
  <c r="Q7" i="5"/>
  <c r="P8" i="5"/>
  <c r="P9" i="5"/>
  <c r="P10" i="5"/>
  <c r="P11" i="5"/>
  <c r="P12" i="5"/>
  <c r="P13" i="5"/>
  <c r="P14" i="5"/>
  <c r="P15" i="5"/>
  <c r="P16" i="5"/>
  <c r="P17" i="5"/>
  <c r="P18" i="5"/>
  <c r="P19" i="5"/>
  <c r="P20" i="5"/>
  <c r="P21" i="5"/>
  <c r="P22" i="5"/>
  <c r="P23" i="5"/>
  <c r="P24" i="5"/>
  <c r="P25" i="5"/>
  <c r="P26" i="5"/>
  <c r="P27" i="5"/>
  <c r="P28" i="5"/>
  <c r="P29" i="5"/>
  <c r="P30" i="5"/>
  <c r="P31" i="5"/>
  <c r="P32" i="5"/>
  <c r="P33" i="5"/>
  <c r="P34" i="5"/>
  <c r="P35" i="5"/>
  <c r="P36" i="5"/>
  <c r="P37" i="5"/>
  <c r="P38" i="5"/>
  <c r="P39" i="5"/>
  <c r="P40" i="5"/>
  <c r="P41" i="5"/>
  <c r="P42" i="5"/>
  <c r="P43" i="5"/>
  <c r="P44" i="5"/>
  <c r="P45" i="5"/>
  <c r="P46" i="5"/>
  <c r="P47" i="5"/>
  <c r="P48" i="5"/>
  <c r="P49" i="5"/>
  <c r="P50" i="5"/>
  <c r="P7" i="5"/>
  <c r="O8" i="5"/>
  <c r="O9" i="5"/>
  <c r="O10" i="5"/>
  <c r="O11" i="5"/>
  <c r="O12" i="5"/>
  <c r="O13" i="5"/>
  <c r="O14" i="5"/>
  <c r="O15" i="5"/>
  <c r="O16" i="5" s="1"/>
  <c r="O17" i="5" s="1"/>
  <c r="O18" i="5" s="1"/>
  <c r="O19" i="5" s="1"/>
  <c r="O20" i="5" s="1"/>
  <c r="O21" i="5" s="1"/>
  <c r="O22" i="5" s="1"/>
  <c r="O23" i="5" s="1"/>
  <c r="O24" i="5" s="1"/>
  <c r="O25" i="5" s="1"/>
  <c r="O26" i="5" s="1"/>
  <c r="O27" i="5" s="1"/>
  <c r="O28" i="5" s="1"/>
  <c r="O29" i="5" s="1"/>
  <c r="O30" i="5" s="1"/>
  <c r="O31" i="5" s="1"/>
  <c r="O32" i="5" s="1"/>
  <c r="O33" i="5" s="1"/>
  <c r="O34" i="5" s="1"/>
  <c r="O35" i="5" s="1"/>
  <c r="O36" i="5" s="1"/>
  <c r="O37" i="5" s="1"/>
  <c r="O38" i="5" s="1"/>
  <c r="O39" i="5" s="1"/>
  <c r="O40" i="5" s="1"/>
  <c r="O41" i="5" s="1"/>
  <c r="O42" i="5" s="1"/>
  <c r="O43" i="5" s="1"/>
  <c r="O44" i="5" s="1"/>
  <c r="O45" i="5" s="1"/>
  <c r="O46" i="5" s="1"/>
  <c r="O47" i="5" s="1"/>
  <c r="O48" i="5" s="1"/>
  <c r="O49" i="5" s="1"/>
  <c r="O50" i="5" s="1"/>
  <c r="O7" i="5"/>
  <c r="N8" i="5"/>
  <c r="N9" i="5"/>
  <c r="N10" i="5"/>
  <c r="N11" i="5"/>
  <c r="N12" i="5"/>
  <c r="N13" i="5"/>
  <c r="N14" i="5"/>
  <c r="N15" i="5"/>
  <c r="N16" i="5"/>
  <c r="N17" i="5"/>
  <c r="N18" i="5"/>
  <c r="N19" i="5"/>
  <c r="N20" i="5"/>
  <c r="N21" i="5"/>
  <c r="N22" i="5"/>
  <c r="N23" i="5"/>
  <c r="N24" i="5"/>
  <c r="N25" i="5"/>
  <c r="N26" i="5"/>
  <c r="N27" i="5"/>
  <c r="N28" i="5"/>
  <c r="N29" i="5"/>
  <c r="N30" i="5"/>
  <c r="N31" i="5"/>
  <c r="N32" i="5"/>
  <c r="N33" i="5"/>
  <c r="N34" i="5"/>
  <c r="N35" i="5"/>
  <c r="N36" i="5"/>
  <c r="N37" i="5"/>
  <c r="N38" i="5"/>
  <c r="N39" i="5"/>
  <c r="N40" i="5"/>
  <c r="N41" i="5"/>
  <c r="N42" i="5"/>
  <c r="N43" i="5"/>
  <c r="N44" i="5"/>
  <c r="N45" i="5"/>
  <c r="N46" i="5"/>
  <c r="N47" i="5"/>
  <c r="N48" i="5"/>
  <c r="N49" i="5"/>
  <c r="N50" i="5"/>
  <c r="N7" i="5"/>
  <c r="L7" i="5"/>
  <c r="L8" i="5"/>
  <c r="L9" i="5"/>
  <c r="L10" i="5"/>
  <c r="L11" i="5"/>
  <c r="L12" i="5"/>
  <c r="L13" i="5"/>
  <c r="L14" i="5"/>
  <c r="L15" i="5"/>
  <c r="L16" i="5"/>
  <c r="L17" i="5"/>
  <c r="L18" i="5"/>
  <c r="L19" i="5"/>
  <c r="L20" i="5"/>
  <c r="L21" i="5"/>
  <c r="L22" i="5"/>
  <c r="L23" i="5"/>
  <c r="L24" i="5"/>
  <c r="L25" i="5"/>
  <c r="L26" i="5"/>
  <c r="L27" i="5"/>
  <c r="L28" i="5"/>
  <c r="L29" i="5"/>
  <c r="L30" i="5"/>
  <c r="L31" i="5"/>
  <c r="L32" i="5"/>
  <c r="L33" i="5"/>
  <c r="L34" i="5"/>
  <c r="L35" i="5"/>
  <c r="L36" i="5"/>
  <c r="L37" i="5"/>
  <c r="L38" i="5"/>
  <c r="L39" i="5"/>
  <c r="L40" i="5"/>
  <c r="L41" i="5"/>
  <c r="L42" i="5"/>
  <c r="L43" i="5"/>
  <c r="L44" i="5"/>
  <c r="L45" i="5"/>
  <c r="L46" i="5"/>
  <c r="L47" i="5"/>
  <c r="L48" i="5"/>
  <c r="L49" i="5"/>
  <c r="L50" i="5"/>
  <c r="L6" i="5"/>
  <c r="Z46" i="6" l="1"/>
  <c r="Z38" i="6"/>
  <c r="Z30" i="6"/>
  <c r="Z47" i="6"/>
  <c r="Z39" i="6"/>
  <c r="Z31" i="6"/>
  <c r="Z15" i="6"/>
  <c r="Z44" i="6"/>
  <c r="Z28" i="6"/>
  <c r="Z20" i="6"/>
  <c r="Z36" i="6"/>
  <c r="Z23" i="6"/>
  <c r="Z22" i="6"/>
  <c r="Z14" i="6"/>
  <c r="Z7" i="6"/>
  <c r="Z43" i="6"/>
  <c r="Z35" i="6"/>
  <c r="Z27" i="6"/>
  <c r="Z19" i="6"/>
  <c r="Z11" i="6"/>
  <c r="Z45" i="6"/>
  <c r="Z29" i="6"/>
  <c r="Z12" i="6"/>
  <c r="Z48" i="6"/>
  <c r="Z50" i="6"/>
  <c r="Z40" i="6"/>
  <c r="Z32" i="6"/>
  <c r="Z24" i="6"/>
  <c r="Z16" i="6"/>
  <c r="Z8" i="6"/>
  <c r="Z13" i="6"/>
  <c r="Z49" i="6"/>
  <c r="Z41" i="6"/>
  <c r="Z33" i="6"/>
  <c r="Z25" i="6"/>
  <c r="Z17" i="6"/>
  <c r="Z9" i="6"/>
  <c r="Z37" i="6"/>
  <c r="Z21" i="6"/>
  <c r="Z42" i="6"/>
  <c r="Z34" i="6"/>
  <c r="Z26" i="6"/>
  <c r="Z18" i="6"/>
  <c r="Z10" i="6"/>
  <c r="AA37" i="5"/>
  <c r="AA22" i="5"/>
  <c r="AA12" i="5"/>
  <c r="Z8" i="5"/>
  <c r="Z9" i="5" s="1"/>
  <c r="Z10" i="5" s="1"/>
  <c r="Z11" i="5" s="1"/>
  <c r="Z12" i="5" s="1"/>
  <c r="Z13" i="5" s="1"/>
  <c r="Z14" i="5" s="1"/>
  <c r="Z15" i="5" s="1"/>
  <c r="Z16" i="5" s="1"/>
  <c r="Z17" i="5" s="1"/>
  <c r="Z18" i="5" s="1"/>
  <c r="Z19" i="5" s="1"/>
  <c r="Z20" i="5" s="1"/>
  <c r="Z21" i="5" s="1"/>
  <c r="Z22" i="5" s="1"/>
  <c r="Z23" i="5" s="1"/>
  <c r="Z24" i="5" s="1"/>
  <c r="Z25" i="5" s="1"/>
  <c r="Z26" i="5" s="1"/>
  <c r="Z27" i="5" s="1"/>
  <c r="Z28" i="5" s="1"/>
  <c r="Z29" i="5" s="1"/>
  <c r="Z30" i="5" s="1"/>
  <c r="Z31" i="5" s="1"/>
  <c r="Z32" i="5" s="1"/>
  <c r="Z33" i="5" s="1"/>
  <c r="Z34" i="5" s="1"/>
  <c r="Z35" i="5" s="1"/>
  <c r="Z36" i="5" s="1"/>
  <c r="Z37" i="5" s="1"/>
  <c r="Z38" i="5" s="1"/>
  <c r="Z39" i="5" s="1"/>
  <c r="Z40" i="5" s="1"/>
  <c r="Z41" i="5" s="1"/>
  <c r="Z42" i="5" s="1"/>
  <c r="Z43" i="5" s="1"/>
  <c r="Z44" i="5" s="1"/>
  <c r="Z45" i="5" s="1"/>
  <c r="Z46" i="5" s="1"/>
  <c r="Z47" i="5" s="1"/>
  <c r="Z48" i="5" s="1"/>
  <c r="Z49" i="5" s="1"/>
  <c r="Z50" i="5" s="1"/>
  <c r="AA30" i="5"/>
  <c r="X8" i="5"/>
  <c r="X9" i="5" s="1"/>
  <c r="X10" i="5" s="1"/>
  <c r="X11" i="5" s="1"/>
  <c r="X12" i="5" s="1"/>
  <c r="W28" i="5"/>
  <c r="W32" i="5"/>
  <c r="AA32" i="5" s="1"/>
  <c r="W39" i="5"/>
  <c r="W15" i="5"/>
  <c r="AA15" i="5" s="1"/>
  <c r="W36" i="5"/>
  <c r="W29" i="5"/>
  <c r="AA29" i="5" s="1"/>
  <c r="W47" i="5"/>
  <c r="W24" i="5"/>
  <c r="AA24" i="5" s="1"/>
  <c r="W17" i="5"/>
  <c r="AA44" i="5"/>
  <c r="W21" i="5"/>
  <c r="AA16" i="5"/>
  <c r="W13" i="5"/>
  <c r="AA13" i="5" s="1"/>
  <c r="AA18" i="5"/>
  <c r="AA38" i="5"/>
  <c r="AA47" i="5"/>
  <c r="AA25" i="5"/>
  <c r="AA28" i="5"/>
  <c r="AA34" i="5"/>
  <c r="AA48" i="5"/>
  <c r="AA36" i="5"/>
  <c r="AA23" i="5"/>
  <c r="AA42" i="5"/>
  <c r="AA9" i="5"/>
  <c r="AA41" i="5"/>
  <c r="AA11" i="5"/>
  <c r="X13" i="5"/>
  <c r="X14" i="5" s="1"/>
  <c r="X15" i="5" s="1"/>
  <c r="X16" i="5" s="1"/>
  <c r="X17" i="5" s="1"/>
  <c r="X18" i="5" s="1"/>
  <c r="X19" i="5" s="1"/>
  <c r="X20" i="5" s="1"/>
  <c r="X21" i="5" s="1"/>
  <c r="X22" i="5" s="1"/>
  <c r="X23" i="5" s="1"/>
  <c r="X24" i="5" s="1"/>
  <c r="X25" i="5" s="1"/>
  <c r="X26" i="5" s="1"/>
  <c r="X27" i="5" s="1"/>
  <c r="X28" i="5" s="1"/>
  <c r="X29" i="5" s="1"/>
  <c r="X30" i="5" s="1"/>
  <c r="X31" i="5" s="1"/>
  <c r="X32" i="5" s="1"/>
  <c r="X33" i="5" s="1"/>
  <c r="X34" i="5" s="1"/>
  <c r="X35" i="5" s="1"/>
  <c r="X36" i="5" s="1"/>
  <c r="X37" i="5" s="1"/>
  <c r="X38" i="5" s="1"/>
  <c r="X39" i="5" s="1"/>
  <c r="X40" i="5" s="1"/>
  <c r="X41" i="5" s="1"/>
  <c r="X42" i="5" s="1"/>
  <c r="X43" i="5" s="1"/>
  <c r="X44" i="5" s="1"/>
  <c r="X45" i="5" s="1"/>
  <c r="X46" i="5" s="1"/>
  <c r="X47" i="5" s="1"/>
  <c r="X48" i="5" s="1"/>
  <c r="X49" i="5" s="1"/>
  <c r="X50" i="5" s="1"/>
  <c r="AA43" i="5"/>
  <c r="AA27" i="5"/>
  <c r="AA46" i="5"/>
  <c r="AA35" i="5"/>
  <c r="AA50" i="5"/>
  <c r="AA19" i="5"/>
  <c r="AA39" i="5"/>
  <c r="AA26" i="5"/>
  <c r="AA33" i="5"/>
  <c r="AA14" i="5"/>
  <c r="AA45" i="5"/>
  <c r="AA31" i="5"/>
  <c r="AA21" i="5"/>
  <c r="AA10" i="5"/>
  <c r="AA8" i="5"/>
  <c r="AA40" i="5"/>
  <c r="AA17" i="5"/>
  <c r="AA49" i="5"/>
  <c r="V8" i="5"/>
  <c r="V9" i="5" s="1"/>
  <c r="V10" i="5" s="1"/>
  <c r="V11" i="5" s="1"/>
  <c r="V12" i="5" s="1"/>
  <c r="V13" i="5" s="1"/>
  <c r="V14" i="5" s="1"/>
  <c r="V15" i="5" s="1"/>
  <c r="V16" i="5" s="1"/>
  <c r="V17" i="5" s="1"/>
  <c r="V18" i="5" s="1"/>
  <c r="V19" i="5" s="1"/>
  <c r="V20" i="5" s="1"/>
  <c r="V21" i="5" s="1"/>
  <c r="V22" i="5" s="1"/>
  <c r="V23" i="5" s="1"/>
  <c r="V24" i="5" s="1"/>
  <c r="V25" i="5" s="1"/>
  <c r="V26" i="5" s="1"/>
  <c r="V27" i="5" s="1"/>
  <c r="V28" i="5" s="1"/>
  <c r="V29" i="5" s="1"/>
  <c r="V30" i="5" s="1"/>
  <c r="V31" i="5" s="1"/>
  <c r="V32" i="5" s="1"/>
  <c r="V33" i="5" s="1"/>
  <c r="V34" i="5" s="1"/>
  <c r="V35" i="5" s="1"/>
  <c r="V36" i="5" s="1"/>
  <c r="V37" i="5" s="1"/>
  <c r="V38" i="5" s="1"/>
  <c r="V39" i="5" s="1"/>
  <c r="V40" i="5" s="1"/>
  <c r="V41" i="5" s="1"/>
  <c r="V42" i="5" s="1"/>
  <c r="V43" i="5" s="1"/>
  <c r="V44" i="5" s="1"/>
  <c r="V45" i="5" s="1"/>
  <c r="V46" i="5" s="1"/>
  <c r="V47" i="5" s="1"/>
  <c r="V48" i="5" s="1"/>
  <c r="V49" i="5" s="1"/>
  <c r="V50" i="5" s="1"/>
  <c r="AA7" i="5"/>
  <c r="AB7" i="5" s="1"/>
  <c r="AA7" i="6" l="1"/>
  <c r="AB8" i="5"/>
  <c r="AB9" i="5" s="1"/>
  <c r="AB10" i="5" s="1"/>
  <c r="AB11" i="5" s="1"/>
  <c r="AB12" i="5" s="1"/>
  <c r="AB13" i="5" s="1"/>
  <c r="AB14" i="5" s="1"/>
  <c r="AB15" i="5" s="1"/>
  <c r="AB16" i="5" s="1"/>
  <c r="AB17" i="5" s="1"/>
  <c r="AB18" i="5" s="1"/>
  <c r="AB19" i="5" s="1"/>
  <c r="AB20" i="5" s="1"/>
  <c r="AB21" i="5" s="1"/>
  <c r="AB22" i="5" s="1"/>
  <c r="AB23" i="5" s="1"/>
  <c r="AB24" i="5" s="1"/>
  <c r="AB25" i="5" s="1"/>
  <c r="AB26" i="5" s="1"/>
  <c r="AB27" i="5" s="1"/>
  <c r="AB28" i="5" s="1"/>
  <c r="AB29" i="5" s="1"/>
  <c r="AB30" i="5" s="1"/>
  <c r="AB31" i="5" s="1"/>
  <c r="AB32" i="5" s="1"/>
  <c r="AB33" i="5" s="1"/>
  <c r="AB34" i="5" s="1"/>
  <c r="AB35" i="5" s="1"/>
  <c r="AB36" i="5" s="1"/>
  <c r="AB37" i="5" s="1"/>
  <c r="AB38" i="5" s="1"/>
  <c r="AB39" i="5" s="1"/>
  <c r="AB40" i="5" s="1"/>
  <c r="AB41" i="5" s="1"/>
  <c r="AB42" i="5" s="1"/>
  <c r="AB43" i="5" s="1"/>
  <c r="AB44" i="5" s="1"/>
  <c r="AB45" i="5" s="1"/>
  <c r="AB46" i="5" s="1"/>
  <c r="AB47" i="5" s="1"/>
  <c r="AB48" i="5" s="1"/>
  <c r="AB49" i="5" s="1"/>
  <c r="AB50" i="5" s="1"/>
  <c r="F7" i="5"/>
  <c r="F8" i="5"/>
  <c r="F9" i="5"/>
  <c r="F10" i="5"/>
  <c r="F11" i="5"/>
  <c r="F12" i="5"/>
  <c r="F13" i="5"/>
  <c r="F14" i="5"/>
  <c r="F15" i="5"/>
  <c r="F16" i="5"/>
  <c r="F17" i="5"/>
  <c r="F18" i="5"/>
  <c r="F19" i="5"/>
  <c r="F20" i="5"/>
  <c r="F21" i="5"/>
  <c r="F22" i="5"/>
  <c r="F23" i="5"/>
  <c r="F24" i="5"/>
  <c r="F25" i="5"/>
  <c r="F26" i="5"/>
  <c r="F27" i="5"/>
  <c r="F28" i="5"/>
  <c r="F29" i="5"/>
  <c r="F30" i="5"/>
  <c r="F31" i="5"/>
  <c r="F32" i="5"/>
  <c r="F33" i="5"/>
  <c r="F34" i="5"/>
  <c r="F35" i="5"/>
  <c r="F36" i="5"/>
  <c r="F37" i="5"/>
  <c r="F38" i="5"/>
  <c r="F39" i="5"/>
  <c r="F40" i="5"/>
  <c r="F41" i="5"/>
  <c r="F42" i="5"/>
  <c r="F43" i="5"/>
  <c r="F44" i="5"/>
  <c r="F45" i="5"/>
  <c r="F46" i="5"/>
  <c r="F47" i="5"/>
  <c r="F48" i="5"/>
  <c r="F49" i="5"/>
  <c r="F50" i="5"/>
  <c r="F6" i="5"/>
  <c r="K6" i="5" a="1"/>
  <c r="K9" i="5" a="1"/>
  <c r="K13" i="5" a="1"/>
  <c r="K17" i="5" a="1"/>
  <c r="K21" i="5" a="1"/>
  <c r="K25" i="5" a="1"/>
  <c r="K29" i="5" a="1"/>
  <c r="K33" i="5" a="1"/>
  <c r="K37" i="5" a="1"/>
  <c r="K41" i="5" a="1"/>
  <c r="K45" i="5" a="1"/>
  <c r="K49" i="5" a="1"/>
  <c r="K11" i="5" a="1"/>
  <c r="K15" i="5" a="1"/>
  <c r="K19" i="5" a="1"/>
  <c r="K23" i="5" a="1"/>
  <c r="K27" i="5" a="1"/>
  <c r="K31" i="5" a="1"/>
  <c r="K35" i="5" a="1"/>
  <c r="K39" i="5" a="1"/>
  <c r="K43" i="5" a="1"/>
  <c r="K47" i="5" a="1"/>
  <c r="K12" i="5" a="1"/>
  <c r="K16" i="5" a="1"/>
  <c r="K20" i="5" a="1"/>
  <c r="K24" i="5" a="1"/>
  <c r="K28" i="5" a="1"/>
  <c r="K32" i="5" a="1"/>
  <c r="K36" i="5" a="1"/>
  <c r="K40" i="5" a="1"/>
  <c r="K44" i="5" a="1"/>
  <c r="K48" i="5" a="1"/>
  <c r="K10" i="5" a="1"/>
  <c r="K14" i="5" a="1"/>
  <c r="K18" i="5" a="1"/>
  <c r="K22" i="5" a="1"/>
  <c r="K26" i="5" a="1"/>
  <c r="K30" i="5" a="1"/>
  <c r="K34" i="5" a="1"/>
  <c r="K38" i="5" a="1"/>
  <c r="K42" i="5" a="1"/>
  <c r="K46" i="5" a="1"/>
  <c r="K50" i="5" a="1"/>
  <c r="K8" i="5" a="1"/>
  <c r="AA8" i="6" l="1"/>
  <c r="K6" i="5"/>
  <c r="K50" i="5"/>
  <c r="K46" i="5"/>
  <c r="K42" i="5"/>
  <c r="K38" i="5"/>
  <c r="K34" i="5"/>
  <c r="K30" i="5"/>
  <c r="K26" i="5"/>
  <c r="K22" i="5"/>
  <c r="K18" i="5"/>
  <c r="K14" i="5"/>
  <c r="K10" i="5"/>
  <c r="K48" i="5"/>
  <c r="K44" i="5"/>
  <c r="K40" i="5"/>
  <c r="K36" i="5"/>
  <c r="K32" i="5"/>
  <c r="K28" i="5"/>
  <c r="K24" i="5"/>
  <c r="K20" i="5"/>
  <c r="K16" i="5"/>
  <c r="K12" i="5"/>
  <c r="K47" i="5"/>
  <c r="K43" i="5"/>
  <c r="K39" i="5"/>
  <c r="K35" i="5"/>
  <c r="K31" i="5"/>
  <c r="K27" i="5"/>
  <c r="K23" i="5"/>
  <c r="K19" i="5"/>
  <c r="K15" i="5"/>
  <c r="K11" i="5"/>
  <c r="K49" i="5"/>
  <c r="K45" i="5"/>
  <c r="K41" i="5"/>
  <c r="K37" i="5"/>
  <c r="K33" i="5"/>
  <c r="K29" i="5"/>
  <c r="K25" i="5"/>
  <c r="K21" i="5"/>
  <c r="K17" i="5"/>
  <c r="K13" i="5"/>
  <c r="K9" i="5"/>
  <c r="K8" i="5"/>
  <c r="AA9" i="6" l="1"/>
  <c r="F6" i="3"/>
  <c r="G2" i="6"/>
  <c r="F2" i="6"/>
  <c r="E2" i="5"/>
  <c r="AA10" i="6" l="1"/>
  <c r="I13" i="6"/>
  <c r="I21" i="6"/>
  <c r="I29" i="6"/>
  <c r="I37" i="6"/>
  <c r="I45" i="6"/>
  <c r="I7" i="6"/>
  <c r="I15" i="6"/>
  <c r="I23" i="6"/>
  <c r="I31" i="6"/>
  <c r="I39" i="6"/>
  <c r="I47" i="6"/>
  <c r="I8" i="6"/>
  <c r="I16" i="6"/>
  <c r="I24" i="6"/>
  <c r="I32" i="6"/>
  <c r="I40" i="6"/>
  <c r="I48" i="6"/>
  <c r="I10" i="6"/>
  <c r="I18" i="6"/>
  <c r="I26" i="6"/>
  <c r="I34" i="6"/>
  <c r="I42" i="6"/>
  <c r="I50" i="6"/>
  <c r="I19" i="6"/>
  <c r="I35" i="6"/>
  <c r="I6" i="6"/>
  <c r="I9" i="6"/>
  <c r="I25" i="6"/>
  <c r="I41" i="6"/>
  <c r="I27" i="6"/>
  <c r="I36" i="6"/>
  <c r="I11" i="6"/>
  <c r="I43" i="6"/>
  <c r="I17" i="6"/>
  <c r="I38" i="6"/>
  <c r="I12" i="6"/>
  <c r="I28" i="6"/>
  <c r="I44" i="6"/>
  <c r="I49" i="6"/>
  <c r="I14" i="6"/>
  <c r="I30" i="6"/>
  <c r="I46" i="6"/>
  <c r="I33" i="6"/>
  <c r="I20" i="6"/>
  <c r="I22" i="6"/>
  <c r="H8" i="6"/>
  <c r="H16" i="6"/>
  <c r="H24" i="6"/>
  <c r="H32" i="6"/>
  <c r="H40" i="6"/>
  <c r="H48" i="6"/>
  <c r="H10" i="6"/>
  <c r="H18" i="6"/>
  <c r="H26" i="6"/>
  <c r="H34" i="6"/>
  <c r="H42" i="6"/>
  <c r="H50" i="6"/>
  <c r="H11" i="6"/>
  <c r="H19" i="6"/>
  <c r="H27" i="6"/>
  <c r="H35" i="6"/>
  <c r="H43" i="6"/>
  <c r="H6" i="6"/>
  <c r="H13" i="6"/>
  <c r="H21" i="6"/>
  <c r="H29" i="6"/>
  <c r="H37" i="6"/>
  <c r="H45" i="6"/>
  <c r="H22" i="6"/>
  <c r="H38" i="6"/>
  <c r="H9" i="6"/>
  <c r="H12" i="6"/>
  <c r="H28" i="6"/>
  <c r="H44" i="6"/>
  <c r="H14" i="6"/>
  <c r="H46" i="6"/>
  <c r="H39" i="6"/>
  <c r="H30" i="6"/>
  <c r="H7" i="6"/>
  <c r="H15" i="6"/>
  <c r="H31" i="6"/>
  <c r="H47" i="6"/>
  <c r="H25" i="6"/>
  <c r="H17" i="6"/>
  <c r="H33" i="6"/>
  <c r="H49" i="6"/>
  <c r="H20" i="6"/>
  <c r="H36" i="6"/>
  <c r="H23" i="6"/>
  <c r="H41" i="6"/>
  <c r="I61" i="4"/>
  <c r="I62" i="4"/>
  <c r="I63" i="4"/>
  <c r="I64" i="4"/>
  <c r="I65" i="4"/>
  <c r="I66" i="4"/>
  <c r="H61" i="4"/>
  <c r="H62" i="4"/>
  <c r="H63" i="4"/>
  <c r="H64" i="4"/>
  <c r="H65" i="4"/>
  <c r="H66" i="4"/>
  <c r="G61" i="4"/>
  <c r="G62" i="4"/>
  <c r="G63" i="4"/>
  <c r="G64" i="4"/>
  <c r="G65" i="4"/>
  <c r="G66" i="4"/>
  <c r="F61" i="4"/>
  <c r="F62" i="4"/>
  <c r="F63" i="4"/>
  <c r="F64" i="4"/>
  <c r="F65" i="4"/>
  <c r="F66" i="4"/>
  <c r="E61" i="4"/>
  <c r="E62" i="4"/>
  <c r="E63" i="4"/>
  <c r="E64" i="4"/>
  <c r="E65" i="4"/>
  <c r="E66" i="4"/>
  <c r="D61" i="4"/>
  <c r="D62" i="4"/>
  <c r="D63" i="4"/>
  <c r="D64" i="4"/>
  <c r="D65" i="4"/>
  <c r="D66" i="4"/>
  <c r="D60" i="4"/>
  <c r="E60" i="4"/>
  <c r="F60" i="4"/>
  <c r="G60" i="4"/>
  <c r="H60" i="4"/>
  <c r="I60" i="4"/>
  <c r="C61" i="4"/>
  <c r="C62" i="4"/>
  <c r="C63" i="4"/>
  <c r="C64" i="4"/>
  <c r="C65" i="4"/>
  <c r="C66" i="4"/>
  <c r="C60" i="4"/>
  <c r="AA11" i="6" l="1"/>
  <c r="B42" i="4"/>
  <c r="B44" i="4" s="1"/>
  <c r="F42" i="4"/>
  <c r="E42" i="4"/>
  <c r="D42" i="4"/>
  <c r="P6" i="6" a="1"/>
  <c r="P47" i="6" a="1"/>
  <c r="N11" i="6" a="1"/>
  <c r="K15" i="6" a="1"/>
  <c r="K41" i="6" a="1"/>
  <c r="J9" i="6" a="1"/>
  <c r="J33" i="6" a="1"/>
  <c r="Q9" i="6" a="1"/>
  <c r="T13" i="6" a="1"/>
  <c r="T30" i="6" a="1"/>
  <c r="P50" i="6" a="1"/>
  <c r="K39" i="6" a="1"/>
  <c r="Q8" i="6" a="1"/>
  <c r="M8" i="6" a="1"/>
  <c r="Q27" i="6" a="1"/>
  <c r="T20" i="6" a="1"/>
  <c r="J46" i="6" a="1"/>
  <c r="J47" i="6" a="1"/>
  <c r="S46" i="6" a="1"/>
  <c r="Q30" i="6" a="1"/>
  <c r="Q14" i="6" a="1"/>
  <c r="T14" i="6" a="1"/>
  <c r="K44" i="6" a="1"/>
  <c r="M38" i="6" a="1"/>
  <c r="P30" i="6" a="1"/>
  <c r="M43" i="6" a="1"/>
  <c r="N31" i="6" a="1"/>
  <c r="S41" i="6" a="1"/>
  <c r="N10" i="6" a="1"/>
  <c r="Q33" i="6" a="1"/>
  <c r="J7" i="6" a="1"/>
  <c r="K48" i="6" a="1"/>
  <c r="M13" i="6" a="1"/>
  <c r="N16" i="6" a="1"/>
  <c r="T32" i="6" a="1"/>
  <c r="J21" i="6" a="1"/>
  <c r="J18" i="6" a="1"/>
  <c r="N17" i="6" a="1"/>
  <c r="K20" i="6" a="1"/>
  <c r="M30" i="6" a="1"/>
  <c r="S26" i="6" a="1"/>
  <c r="S16" i="6" a="1"/>
  <c r="J22" i="6" a="1"/>
  <c r="P36" i="6" a="1"/>
  <c r="P39" i="6" a="1"/>
  <c r="K7" i="6" a="1"/>
  <c r="S9" i="6" a="1"/>
  <c r="K13" i="6" a="1"/>
  <c r="N18" i="6" a="1"/>
  <c r="N25" i="6" a="1"/>
  <c r="K28" i="6" a="1"/>
  <c r="N35" i="6" a="1"/>
  <c r="Q48" i="6" a="1"/>
  <c r="P28" i="6" a="1"/>
  <c r="T25" i="6" a="1"/>
  <c r="S40" i="6" a="1"/>
  <c r="S29" i="6" a="1"/>
  <c r="T9" i="6" a="1"/>
  <c r="K12" i="6" a="1"/>
  <c r="P20" i="6" a="1"/>
  <c r="K37" i="6" a="1"/>
  <c r="J32" i="6" a="1"/>
  <c r="K45" i="6" a="1"/>
  <c r="T6" i="6" a="1"/>
  <c r="J29" i="6" a="1"/>
  <c r="T11" i="6" a="1"/>
  <c r="K8" i="6" a="1"/>
  <c r="K14" i="6" a="1"/>
  <c r="M39" i="6" a="1"/>
  <c r="T41" i="6" a="1"/>
  <c r="P24" i="6" a="1"/>
  <c r="T8" i="6" a="1"/>
  <c r="K16" i="6" a="1"/>
  <c r="M42" i="6" a="1"/>
  <c r="M25" i="6" a="1"/>
  <c r="Q34" i="6" a="1"/>
  <c r="P22" i="6" a="1"/>
  <c r="Q36" i="6" a="1"/>
  <c r="N21" i="6" a="1"/>
  <c r="T19" i="6" a="1"/>
  <c r="Q6" i="6" a="1"/>
  <c r="J41" i="6" a="1"/>
  <c r="S7" i="6" a="1"/>
  <c r="T35" i="6" a="1"/>
  <c r="N29" i="6" a="1"/>
  <c r="J25" i="6" a="1"/>
  <c r="N50" i="6" a="1"/>
  <c r="M48" i="6" a="1"/>
  <c r="Q37" i="6" a="1"/>
  <c r="J30" i="6" a="1"/>
  <c r="K19" i="6" a="1"/>
  <c r="M19" i="6" a="1"/>
  <c r="M12" i="6" a="1"/>
  <c r="P37" i="6" a="1"/>
  <c r="Q18" i="6" a="1"/>
  <c r="N36" i="6" a="1"/>
  <c r="M32" i="6" a="1"/>
  <c r="S11" i="6" a="1"/>
  <c r="P38" i="6" a="1"/>
  <c r="S32" i="6" a="1"/>
  <c r="M29" i="6" a="1"/>
  <c r="Q23" i="6" a="1"/>
  <c r="S25" i="6" a="1"/>
  <c r="M18" i="6" a="1"/>
  <c r="M20" i="6" a="1"/>
  <c r="Q22" i="6" a="1"/>
  <c r="K34" i="6" a="1"/>
  <c r="N13" i="6" a="1"/>
  <c r="N14" i="6" a="1"/>
  <c r="Q20" i="6" a="1"/>
  <c r="P31" i="6" a="1"/>
  <c r="K18" i="6" a="1"/>
  <c r="Q31" i="6" a="1"/>
  <c r="M35" i="6" a="1"/>
  <c r="M22" i="6" a="1"/>
  <c r="M31" i="6" a="1"/>
  <c r="K17" i="6" a="1"/>
  <c r="S44" i="6" a="1"/>
  <c r="P41" i="6" a="1"/>
  <c r="T33" i="6" a="1"/>
  <c r="P16" i="6" a="1"/>
  <c r="K33" i="6" a="1"/>
  <c r="N40" i="6" a="1"/>
  <c r="N22" i="6" a="1"/>
  <c r="Q7" i="6" a="1"/>
  <c r="K49" i="6" a="1"/>
  <c r="P43" i="6" a="1"/>
  <c r="M44" i="6" a="1"/>
  <c r="Q17" i="6" a="1"/>
  <c r="J12" i="6" a="1"/>
  <c r="J8" i="6" a="1"/>
  <c r="T43" i="6" a="1"/>
  <c r="J28" i="6" a="1"/>
  <c r="P23" i="6" a="1"/>
  <c r="N46" i="6" a="1"/>
  <c r="M10" i="6" a="1"/>
  <c r="S17" i="6" a="1"/>
  <c r="N49" i="6" a="1"/>
  <c r="T42" i="6" a="1"/>
  <c r="J40" i="6" a="1"/>
  <c r="K27" i="6" a="1"/>
  <c r="T50" i="6" a="1"/>
  <c r="P27" i="6" a="1"/>
  <c r="Q42" i="6" a="1"/>
  <c r="N19" i="6" a="1"/>
  <c r="N28" i="6" a="1"/>
  <c r="M15" i="6" a="1"/>
  <c r="Q43" i="6" a="1"/>
  <c r="Q16" i="6" a="1"/>
  <c r="P33" i="6" a="1"/>
  <c r="T24" i="6" a="1"/>
  <c r="Q28" i="6" a="1"/>
  <c r="J44" i="6" a="1"/>
  <c r="P15" i="6" a="1"/>
  <c r="S38" i="6" a="1"/>
  <c r="Q46" i="6" a="1"/>
  <c r="T48" i="6" a="1"/>
  <c r="T37" i="6" a="1"/>
  <c r="P10" i="6" a="1"/>
  <c r="S33" i="6" a="1"/>
  <c r="M17" i="6" a="1"/>
  <c r="M50" i="6" a="1"/>
  <c r="K6" i="6" a="1"/>
  <c r="J43" i="6" a="1"/>
  <c r="K10" i="6" a="1"/>
  <c r="T47" i="6" a="1"/>
  <c r="S14" i="6" a="1"/>
  <c r="N39" i="6" a="1"/>
  <c r="S24" i="6" a="1"/>
  <c r="T15" i="6" a="1"/>
  <c r="S6" i="6" a="1"/>
  <c r="T36" i="6" a="1"/>
  <c r="J38" i="6" a="1"/>
  <c r="Q50" i="6" a="1"/>
  <c r="P9" i="6" a="1"/>
  <c r="S23" i="6" a="1"/>
  <c r="J35" i="6" a="1"/>
  <c r="S50" i="6" a="1"/>
  <c r="N47" i="6" a="1"/>
  <c r="M7" i="6" a="1"/>
  <c r="J13" i="6" a="1"/>
  <c r="K29" i="6" a="1"/>
  <c r="J17" i="6" a="1"/>
  <c r="T27" i="6" a="1"/>
  <c r="J20" i="6" a="1"/>
  <c r="M49" i="6" a="1"/>
  <c r="Q12" i="6" a="1"/>
  <c r="N20" i="6" a="1"/>
  <c r="Q19" i="6" a="1"/>
  <c r="N34" i="6" a="1"/>
  <c r="J31" i="6" a="1"/>
  <c r="T28" i="6" a="1"/>
  <c r="Q13" i="6" a="1"/>
  <c r="S28" i="6" a="1"/>
  <c r="M27" i="6" a="1"/>
  <c r="Q40" i="6" a="1"/>
  <c r="S13" i="6" a="1"/>
  <c r="Q10" i="6" a="1"/>
  <c r="J6" i="6" a="1"/>
  <c r="N32" i="6" a="1"/>
  <c r="Q26" i="6" a="1"/>
  <c r="Q38" i="6" a="1"/>
  <c r="S43" i="6" a="1"/>
  <c r="P29" i="6" a="1"/>
  <c r="P14" i="6" a="1"/>
  <c r="N37" i="6" a="1"/>
  <c r="T46" i="6" a="1"/>
  <c r="S47" i="6" a="1"/>
  <c r="Q41" i="6" a="1"/>
  <c r="Q44" i="6" a="1"/>
  <c r="K25" i="6" a="1"/>
  <c r="P34" i="6" a="1"/>
  <c r="J48" i="6" a="1"/>
  <c r="P12" i="6" a="1"/>
  <c r="T22" i="6" a="1"/>
  <c r="P48" i="6" a="1"/>
  <c r="J50" i="6" a="1"/>
  <c r="T26" i="6" a="1"/>
  <c r="M24" i="6" a="1"/>
  <c r="K35" i="6" a="1"/>
  <c r="K30" i="6" a="1"/>
  <c r="J23" i="6" a="1"/>
  <c r="M14" i="6" a="1"/>
  <c r="P25" i="6" a="1"/>
  <c r="Q24" i="6" a="1"/>
  <c r="M46" i="6" a="1"/>
  <c r="K42" i="6" a="1"/>
  <c r="T40" i="6" a="1"/>
  <c r="N12" i="6" a="1"/>
  <c r="K36" i="6" a="1"/>
  <c r="Q11" i="6" a="1"/>
  <c r="M28" i="6" a="1"/>
  <c r="T21" i="6" a="1"/>
  <c r="M40" i="6" a="1"/>
  <c r="M41" i="6" a="1"/>
  <c r="Q47" i="6" a="1"/>
  <c r="P19" i="6" a="1"/>
  <c r="K40" i="6" a="1"/>
  <c r="P18" i="6" a="1"/>
  <c r="P21" i="6" a="1"/>
  <c r="S48" i="6" a="1"/>
  <c r="J27" i="6" a="1"/>
  <c r="J45" i="6" a="1"/>
  <c r="P17" i="6" a="1"/>
  <c r="P26" i="6" a="1"/>
  <c r="K32" i="6" a="1"/>
  <c r="T7" i="6" a="1"/>
  <c r="J37" i="6" a="1"/>
  <c r="P7" i="6" a="1"/>
  <c r="P49" i="6" a="1"/>
  <c r="S15" i="6" a="1"/>
  <c r="J42" i="6" a="1"/>
  <c r="Q39" i="6" a="1"/>
  <c r="N6" i="6" a="1"/>
  <c r="J16" i="6" a="1"/>
  <c r="N30" i="6" a="1"/>
  <c r="Q49" i="6" a="1"/>
  <c r="N26" i="6" a="1"/>
  <c r="N48" i="6" a="1"/>
  <c r="P40" i="6" a="1"/>
  <c r="J19" i="6" a="1"/>
  <c r="S45" i="6" a="1"/>
  <c r="S30" i="6" a="1"/>
  <c r="M21" i="6" a="1"/>
  <c r="T10" i="6" a="1"/>
  <c r="J11" i="6" a="1"/>
  <c r="P44" i="6" a="1"/>
  <c r="K9" i="6" a="1"/>
  <c r="M26" i="6" a="1"/>
  <c r="J34" i="6" a="1"/>
  <c r="K24" i="6" a="1"/>
  <c r="N7" i="6" a="1"/>
  <c r="S21" i="6" a="1"/>
  <c r="N44" i="6" a="1"/>
  <c r="Q32" i="6" a="1"/>
  <c r="S12" i="6" a="1"/>
  <c r="K38" i="6" a="1"/>
  <c r="K22" i="6" a="1"/>
  <c r="N38" i="6" a="1"/>
  <c r="K26" i="6" a="1"/>
  <c r="S10" i="6" a="1"/>
  <c r="P45" i="6" a="1"/>
  <c r="J39" i="6" a="1"/>
  <c r="T44" i="6" a="1"/>
  <c r="M23" i="6" a="1"/>
  <c r="S37" i="6" a="1"/>
  <c r="S18" i="6" a="1"/>
  <c r="J24" i="6" a="1"/>
  <c r="S22" i="6" a="1"/>
  <c r="S8" i="6" a="1"/>
  <c r="T16" i="6" a="1"/>
  <c r="S20" i="6" a="1"/>
  <c r="Q29" i="6" a="1"/>
  <c r="S36" i="6" a="1"/>
  <c r="T31" i="6" a="1"/>
  <c r="N33" i="6" a="1"/>
  <c r="T49" i="6" a="1"/>
  <c r="K23" i="6" a="1"/>
  <c r="M9" i="6" a="1"/>
  <c r="M37" i="6" a="1"/>
  <c r="Q25" i="6" a="1"/>
  <c r="N9" i="6" a="1"/>
  <c r="T29" i="6" a="1"/>
  <c r="Q15" i="6" a="1"/>
  <c r="N24" i="6" a="1"/>
  <c r="P42" i="6" a="1"/>
  <c r="P13" i="6" a="1"/>
  <c r="N15" i="6" a="1"/>
  <c r="T23" i="6" a="1"/>
  <c r="J36" i="6" a="1"/>
  <c r="T17" i="6" a="1"/>
  <c r="K43" i="6" a="1"/>
  <c r="K46" i="6" a="1"/>
  <c r="N27" i="6" a="1"/>
  <c r="S42" i="6" a="1"/>
  <c r="K31" i="6" a="1"/>
  <c r="K21" i="6" a="1"/>
  <c r="M16" i="6" a="1"/>
  <c r="P8" i="6" a="1"/>
  <c r="N42" i="6" a="1"/>
  <c r="S27" i="6" a="1"/>
  <c r="Q35" i="6" a="1"/>
  <c r="T39" i="6" a="1"/>
  <c r="S31" i="6" a="1"/>
  <c r="N43" i="6" a="1"/>
  <c r="Q45" i="6" a="1"/>
  <c r="P35" i="6" a="1"/>
  <c r="M36" i="6" a="1"/>
  <c r="J49" i="6" a="1"/>
  <c r="S19" i="6" a="1"/>
  <c r="J10" i="6" a="1"/>
  <c r="S35" i="6" a="1"/>
  <c r="Q21" i="6" a="1"/>
  <c r="K47" i="6" a="1"/>
  <c r="M33" i="6" a="1"/>
  <c r="K11" i="6" a="1"/>
  <c r="K50" i="6" a="1"/>
  <c r="N41" i="6" a="1"/>
  <c r="P11" i="6" a="1"/>
  <c r="M34" i="6" a="1"/>
  <c r="T18" i="6" a="1"/>
  <c r="M6" i="6" a="1"/>
  <c r="M11" i="6" a="1"/>
  <c r="P46" i="6" a="1"/>
  <c r="S49" i="6" a="1"/>
  <c r="T34" i="6" a="1"/>
  <c r="M47" i="6" a="1"/>
  <c r="J14" i="6" a="1"/>
  <c r="N8" i="6" a="1"/>
  <c r="T45" i="6" a="1"/>
  <c r="N45" i="6" a="1"/>
  <c r="J15" i="6" a="1"/>
  <c r="T38" i="6" a="1"/>
  <c r="J26" i="6" a="1"/>
  <c r="M45" i="6" a="1"/>
  <c r="P32" i="6" a="1"/>
  <c r="S39" i="6" a="1"/>
  <c r="T12" i="6" a="1"/>
  <c r="N23" i="6" a="1"/>
  <c r="S34" i="6" a="1"/>
  <c r="S34" i="6" l="1"/>
  <c r="N23" i="6"/>
  <c r="T12" i="6"/>
  <c r="S39" i="6"/>
  <c r="P32" i="6"/>
  <c r="M45" i="6"/>
  <c r="O45" i="6" s="1"/>
  <c r="AD46" i="6" s="1"/>
  <c r="J26" i="6"/>
  <c r="L26" i="6" s="1"/>
  <c r="T38" i="6"/>
  <c r="J15" i="6"/>
  <c r="N45" i="6"/>
  <c r="T45" i="6"/>
  <c r="N8" i="6"/>
  <c r="J14" i="6"/>
  <c r="M47" i="6"/>
  <c r="O47" i="6" s="1"/>
  <c r="T34" i="6"/>
  <c r="AF35" i="6" s="1"/>
  <c r="S49" i="6"/>
  <c r="U49" i="6" s="1"/>
  <c r="P46" i="6"/>
  <c r="M11" i="6"/>
  <c r="M6" i="6"/>
  <c r="T18" i="6"/>
  <c r="M34" i="6"/>
  <c r="P11" i="6"/>
  <c r="N41" i="6"/>
  <c r="K50" i="6"/>
  <c r="K11" i="6"/>
  <c r="M33" i="6"/>
  <c r="K47" i="6"/>
  <c r="Q21" i="6"/>
  <c r="S35" i="6"/>
  <c r="AF36" i="6" s="1"/>
  <c r="J10" i="6"/>
  <c r="S19" i="6"/>
  <c r="U19" i="6" s="1"/>
  <c r="J49" i="6"/>
  <c r="L49" i="6" s="1"/>
  <c r="M36" i="6"/>
  <c r="P35" i="6"/>
  <c r="Q45" i="6"/>
  <c r="N43" i="6"/>
  <c r="S31" i="6"/>
  <c r="AF32" i="6" s="1"/>
  <c r="T39" i="6"/>
  <c r="AF40" i="6" s="1"/>
  <c r="Q35" i="6"/>
  <c r="R35" i="6" s="1"/>
  <c r="S27" i="6"/>
  <c r="U27" i="6" s="1"/>
  <c r="N42" i="6"/>
  <c r="P8" i="6"/>
  <c r="M16" i="6"/>
  <c r="K21" i="6"/>
  <c r="K31" i="6"/>
  <c r="S42" i="6"/>
  <c r="U42" i="6" s="1"/>
  <c r="N27" i="6"/>
  <c r="K46" i="6"/>
  <c r="K43" i="6"/>
  <c r="T17" i="6"/>
  <c r="J36" i="6"/>
  <c r="T23" i="6"/>
  <c r="N15" i="6"/>
  <c r="P13" i="6"/>
  <c r="P42" i="6"/>
  <c r="R42" i="6" s="1"/>
  <c r="N24" i="6"/>
  <c r="Q15" i="6"/>
  <c r="T29" i="6"/>
  <c r="N9" i="6"/>
  <c r="Q25" i="6"/>
  <c r="M37" i="6"/>
  <c r="O37" i="6" s="1"/>
  <c r="M9" i="6"/>
  <c r="K23" i="6"/>
  <c r="L23" i="6" s="1"/>
  <c r="T49" i="6"/>
  <c r="N33" i="6"/>
  <c r="T31" i="6"/>
  <c r="S36" i="6"/>
  <c r="Q29" i="6"/>
  <c r="S20" i="6"/>
  <c r="T16" i="6"/>
  <c r="S8" i="6"/>
  <c r="AF9" i="6" s="1"/>
  <c r="S22" i="6"/>
  <c r="U22" i="6" s="1"/>
  <c r="J24" i="6"/>
  <c r="S18" i="6"/>
  <c r="S37" i="6"/>
  <c r="M23" i="6"/>
  <c r="T44" i="6"/>
  <c r="J39" i="6"/>
  <c r="L39" i="6" s="1"/>
  <c r="P45" i="6"/>
  <c r="R45" i="6" s="1"/>
  <c r="S10" i="6"/>
  <c r="U10" i="6" s="1"/>
  <c r="K26" i="6"/>
  <c r="N38" i="6"/>
  <c r="K22" i="6"/>
  <c r="K38" i="6"/>
  <c r="S12" i="6"/>
  <c r="U12" i="6" s="1"/>
  <c r="Q32" i="6"/>
  <c r="N44" i="6"/>
  <c r="S21" i="6"/>
  <c r="AF22" i="6" s="1"/>
  <c r="N7" i="6"/>
  <c r="K24" i="6"/>
  <c r="J34" i="6"/>
  <c r="M26" i="6"/>
  <c r="K9" i="6"/>
  <c r="P44" i="6"/>
  <c r="R44" i="6" s="1"/>
  <c r="J11" i="6"/>
  <c r="L11" i="6" s="1"/>
  <c r="T10" i="6"/>
  <c r="M21" i="6"/>
  <c r="S30" i="6"/>
  <c r="S45" i="6"/>
  <c r="AF46" i="6" s="1"/>
  <c r="J19" i="6"/>
  <c r="P40" i="6"/>
  <c r="N48" i="6"/>
  <c r="O48" i="6" s="1"/>
  <c r="N26" i="6"/>
  <c r="Q49" i="6"/>
  <c r="N30" i="6"/>
  <c r="J16" i="6"/>
  <c r="N6" i="6"/>
  <c r="Q39" i="6"/>
  <c r="J42" i="6"/>
  <c r="S15" i="6"/>
  <c r="U15" i="6" s="1"/>
  <c r="P49" i="6"/>
  <c r="R49" i="6" s="1"/>
  <c r="P7" i="6"/>
  <c r="R7" i="6" s="1"/>
  <c r="J37" i="6"/>
  <c r="T7" i="6"/>
  <c r="K32" i="6"/>
  <c r="P26" i="6"/>
  <c r="P17" i="6"/>
  <c r="R17" i="6" s="1"/>
  <c r="J45" i="6"/>
  <c r="J27" i="6"/>
  <c r="L27" i="6" s="1"/>
  <c r="S48" i="6"/>
  <c r="U48" i="6" s="1"/>
  <c r="P21" i="6"/>
  <c r="P18" i="6"/>
  <c r="K40" i="6"/>
  <c r="P19" i="6"/>
  <c r="Q47" i="6"/>
  <c r="M41" i="6"/>
  <c r="O41" i="6" s="1"/>
  <c r="M40" i="6"/>
  <c r="T21" i="6"/>
  <c r="M28" i="6"/>
  <c r="Q11" i="6"/>
  <c r="K36" i="6"/>
  <c r="N12" i="6"/>
  <c r="T40" i="6"/>
  <c r="AF41" i="6" s="1"/>
  <c r="K42" i="6"/>
  <c r="L42" i="6" s="1"/>
  <c r="M46" i="6"/>
  <c r="O46" i="6" s="1"/>
  <c r="Q24" i="6"/>
  <c r="P25" i="6"/>
  <c r="M14" i="6"/>
  <c r="J23" i="6"/>
  <c r="K30" i="6"/>
  <c r="K35" i="6"/>
  <c r="M24" i="6"/>
  <c r="T26" i="6"/>
  <c r="J50" i="6"/>
  <c r="L50" i="6" s="1"/>
  <c r="P48" i="6"/>
  <c r="T22" i="6"/>
  <c r="P12" i="6"/>
  <c r="J48" i="6"/>
  <c r="P34" i="6"/>
  <c r="K25" i="6"/>
  <c r="L25" i="6" s="1"/>
  <c r="Q44" i="6"/>
  <c r="Q41" i="6"/>
  <c r="S47" i="6"/>
  <c r="T46" i="6"/>
  <c r="N37" i="6"/>
  <c r="P14" i="6"/>
  <c r="P29" i="6"/>
  <c r="R29" i="6" s="1"/>
  <c r="S43" i="6"/>
  <c r="U43" i="6" s="1"/>
  <c r="Q38" i="6"/>
  <c r="Q26" i="6"/>
  <c r="R26" i="6" s="1"/>
  <c r="N32" i="6"/>
  <c r="J6" i="6"/>
  <c r="Q10" i="6"/>
  <c r="S13" i="6"/>
  <c r="Q40" i="6"/>
  <c r="M27" i="6"/>
  <c r="O27" i="6" s="1"/>
  <c r="S28" i="6"/>
  <c r="U28" i="6" s="1"/>
  <c r="Q13" i="6"/>
  <c r="R13" i="6" s="1"/>
  <c r="T28" i="6"/>
  <c r="J31" i="6"/>
  <c r="N34" i="6"/>
  <c r="Q19" i="6"/>
  <c r="N20" i="6"/>
  <c r="Q12" i="6"/>
  <c r="R12" i="6" s="1"/>
  <c r="M49" i="6"/>
  <c r="O49" i="6" s="1"/>
  <c r="J20" i="6"/>
  <c r="L20" i="6" s="1"/>
  <c r="T27" i="6"/>
  <c r="J17" i="6"/>
  <c r="K29" i="6"/>
  <c r="J13" i="6"/>
  <c r="M7" i="6"/>
  <c r="N47" i="6"/>
  <c r="S50" i="6"/>
  <c r="U50" i="6" s="1"/>
  <c r="J35" i="6"/>
  <c r="L35" i="6" s="1"/>
  <c r="S23" i="6"/>
  <c r="P9" i="6"/>
  <c r="Q50" i="6"/>
  <c r="J38" i="6"/>
  <c r="T36" i="6"/>
  <c r="AF37" i="6" s="1"/>
  <c r="S6" i="6"/>
  <c r="U6" i="6" s="1"/>
  <c r="T15" i="6"/>
  <c r="S24" i="6"/>
  <c r="AF25" i="6" s="1"/>
  <c r="N39" i="6"/>
  <c r="S14" i="6"/>
  <c r="T47" i="6"/>
  <c r="K10" i="6"/>
  <c r="J43" i="6"/>
  <c r="K6" i="6"/>
  <c r="L6" i="6" s="1"/>
  <c r="M50" i="6"/>
  <c r="O50" i="6" s="1"/>
  <c r="M17" i="6"/>
  <c r="O17" i="6" s="1"/>
  <c r="S33" i="6"/>
  <c r="P10" i="6"/>
  <c r="T37" i="6"/>
  <c r="T48" i="6"/>
  <c r="Q46" i="6"/>
  <c r="S38" i="6"/>
  <c r="AF39" i="6" s="1"/>
  <c r="P15" i="6"/>
  <c r="R15" i="6" s="1"/>
  <c r="J44" i="6"/>
  <c r="L44" i="6" s="1"/>
  <c r="Q28" i="6"/>
  <c r="T24" i="6"/>
  <c r="P33" i="6"/>
  <c r="Q16" i="6"/>
  <c r="Q43" i="6"/>
  <c r="M15" i="6"/>
  <c r="O15" i="6" s="1"/>
  <c r="N28" i="6"/>
  <c r="O28" i="6" s="1"/>
  <c r="AD29" i="6" s="1"/>
  <c r="N19" i="6"/>
  <c r="O19" i="6" s="1"/>
  <c r="Q42" i="6"/>
  <c r="P27" i="6"/>
  <c r="T50" i="6"/>
  <c r="K27" i="6"/>
  <c r="J40" i="6"/>
  <c r="L40" i="6" s="1"/>
  <c r="T42" i="6"/>
  <c r="N49" i="6"/>
  <c r="S17" i="6"/>
  <c r="AF18" i="6" s="1"/>
  <c r="M10" i="6"/>
  <c r="N46" i="6"/>
  <c r="P23" i="6"/>
  <c r="J28" i="6"/>
  <c r="T43" i="6"/>
  <c r="J8" i="6"/>
  <c r="L8" i="6" s="1"/>
  <c r="J12" i="6"/>
  <c r="L12" i="6" s="1"/>
  <c r="Q17" i="6"/>
  <c r="M44" i="6"/>
  <c r="P43" i="6"/>
  <c r="K49" i="6"/>
  <c r="Q7" i="6"/>
  <c r="N22" i="6"/>
  <c r="N40" i="6"/>
  <c r="K33" i="6"/>
  <c r="P16" i="6"/>
  <c r="R16" i="6" s="1"/>
  <c r="T33" i="6"/>
  <c r="P41" i="6"/>
  <c r="S44" i="6"/>
  <c r="AF45" i="6" s="1"/>
  <c r="K17" i="6"/>
  <c r="M31" i="6"/>
  <c r="O31" i="6" s="1"/>
  <c r="M22" i="6"/>
  <c r="M35" i="6"/>
  <c r="Q31" i="6"/>
  <c r="R31" i="6" s="1"/>
  <c r="K18" i="6"/>
  <c r="P31" i="6"/>
  <c r="Q20" i="6"/>
  <c r="N14" i="6"/>
  <c r="N13" i="6"/>
  <c r="K34" i="6"/>
  <c r="L34" i="6" s="1"/>
  <c r="Q22" i="6"/>
  <c r="M20" i="6"/>
  <c r="O20" i="6" s="1"/>
  <c r="M18" i="6"/>
  <c r="S25" i="6"/>
  <c r="Q23" i="6"/>
  <c r="M29" i="6"/>
  <c r="S32" i="6"/>
  <c r="U32" i="6" s="1"/>
  <c r="P38" i="6"/>
  <c r="R38" i="6" s="1"/>
  <c r="AD39" i="6" s="1"/>
  <c r="S11" i="6"/>
  <c r="AF12" i="6" s="1"/>
  <c r="M32" i="6"/>
  <c r="O32" i="6" s="1"/>
  <c r="N36" i="6"/>
  <c r="Q18" i="6"/>
  <c r="P37" i="6"/>
  <c r="M12" i="6"/>
  <c r="M19" i="6"/>
  <c r="K19" i="6"/>
  <c r="L19" i="6" s="1"/>
  <c r="J30" i="6"/>
  <c r="L30" i="6" s="1"/>
  <c r="Q37" i="6"/>
  <c r="R37" i="6" s="1"/>
  <c r="M48" i="6"/>
  <c r="N50" i="6"/>
  <c r="J25" i="6"/>
  <c r="N29" i="6"/>
  <c r="T35" i="6"/>
  <c r="S7" i="6"/>
  <c r="AF8" i="6" s="1"/>
  <c r="J41" i="6"/>
  <c r="L41" i="6" s="1"/>
  <c r="Q6" i="6"/>
  <c r="T19" i="6"/>
  <c r="N21" i="6"/>
  <c r="Q36" i="6"/>
  <c r="P22" i="6"/>
  <c r="Q34" i="6"/>
  <c r="M25" i="6"/>
  <c r="M42" i="6"/>
  <c r="K16" i="6"/>
  <c r="L16" i="6" s="1"/>
  <c r="T8" i="6"/>
  <c r="P24" i="6"/>
  <c r="T41" i="6"/>
  <c r="M39" i="6"/>
  <c r="K14" i="6"/>
  <c r="K8" i="6"/>
  <c r="T11" i="6"/>
  <c r="J29" i="6"/>
  <c r="L29" i="6" s="1"/>
  <c r="T6" i="6"/>
  <c r="K45" i="6"/>
  <c r="J32" i="6"/>
  <c r="K37" i="6"/>
  <c r="P20" i="6"/>
  <c r="R20" i="6" s="1"/>
  <c r="K12" i="6"/>
  <c r="T9" i="6"/>
  <c r="AF10" i="6" s="1"/>
  <c r="S29" i="6"/>
  <c r="AF30" i="6" s="1"/>
  <c r="S40" i="6"/>
  <c r="T25" i="6"/>
  <c r="P28" i="6"/>
  <c r="R28" i="6" s="1"/>
  <c r="Q48" i="6"/>
  <c r="N35" i="6"/>
  <c r="K28" i="6"/>
  <c r="L28" i="6" s="1"/>
  <c r="N25" i="6"/>
  <c r="O25" i="6" s="1"/>
  <c r="N18" i="6"/>
  <c r="O18" i="6" s="1"/>
  <c r="K13" i="6"/>
  <c r="S9" i="6"/>
  <c r="K7" i="6"/>
  <c r="P39" i="6"/>
  <c r="P36" i="6"/>
  <c r="J22" i="6"/>
  <c r="S16" i="6"/>
  <c r="U16" i="6" s="1"/>
  <c r="S26" i="6"/>
  <c r="U26" i="6" s="1"/>
  <c r="M30" i="6"/>
  <c r="K20" i="6"/>
  <c r="N17" i="6"/>
  <c r="J18" i="6"/>
  <c r="J21" i="6"/>
  <c r="L21" i="6" s="1"/>
  <c r="T32" i="6"/>
  <c r="N16" i="6"/>
  <c r="M13" i="6"/>
  <c r="O13" i="6" s="1"/>
  <c r="K48" i="6"/>
  <c r="J7" i="6"/>
  <c r="Q33" i="6"/>
  <c r="N10" i="6"/>
  <c r="S41" i="6"/>
  <c r="AF42" i="6" s="1"/>
  <c r="N31" i="6"/>
  <c r="M43" i="6"/>
  <c r="P30" i="6"/>
  <c r="R30" i="6" s="1"/>
  <c r="M38" i="6"/>
  <c r="K44" i="6"/>
  <c r="T14" i="6"/>
  <c r="AF15" i="6" s="1"/>
  <c r="Q14" i="6"/>
  <c r="Q30" i="6"/>
  <c r="S46" i="6"/>
  <c r="U46" i="6" s="1"/>
  <c r="J47" i="6"/>
  <c r="J46" i="6"/>
  <c r="L46" i="6" s="1"/>
  <c r="T20" i="6"/>
  <c r="Q27" i="6"/>
  <c r="M8" i="6"/>
  <c r="Q8" i="6"/>
  <c r="K39" i="6"/>
  <c r="P50" i="6"/>
  <c r="R50" i="6" s="1"/>
  <c r="T30" i="6"/>
  <c r="AF31" i="6" s="1"/>
  <c r="T13" i="6"/>
  <c r="Q9" i="6"/>
  <c r="J33" i="6"/>
  <c r="J9" i="6"/>
  <c r="K41" i="6"/>
  <c r="K15" i="6"/>
  <c r="L15" i="6" s="1"/>
  <c r="N11" i="6"/>
  <c r="O11" i="6" s="1"/>
  <c r="P47" i="6"/>
  <c r="R47" i="6" s="1"/>
  <c r="P6" i="6"/>
  <c r="R6" i="6" s="1"/>
  <c r="O38" i="6"/>
  <c r="AF33" i="6"/>
  <c r="AF20" i="6"/>
  <c r="AF16" i="6"/>
  <c r="O21" i="6"/>
  <c r="AF19" i="6"/>
  <c r="O40" i="6"/>
  <c r="AF48" i="6"/>
  <c r="AF26" i="6"/>
  <c r="AF17" i="6"/>
  <c r="AF43" i="6"/>
  <c r="O23" i="6"/>
  <c r="AF11" i="6"/>
  <c r="AF38" i="6"/>
  <c r="AF13" i="6"/>
  <c r="AF14" i="6"/>
  <c r="AF24" i="6"/>
  <c r="AF34" i="6"/>
  <c r="AF21" i="6"/>
  <c r="L37" i="6"/>
  <c r="AF47" i="6"/>
  <c r="AF50" i="6"/>
  <c r="L36" i="6"/>
  <c r="L32" i="6"/>
  <c r="O29" i="6"/>
  <c r="L47" i="6"/>
  <c r="O6" i="6"/>
  <c r="AA12" i="6"/>
  <c r="L7" i="6"/>
  <c r="O42" i="6"/>
  <c r="R23" i="6"/>
  <c r="O33" i="6"/>
  <c r="O35" i="6"/>
  <c r="O30" i="6"/>
  <c r="R48" i="6"/>
  <c r="R27" i="6"/>
  <c r="R34" i="6"/>
  <c r="L9" i="6"/>
  <c r="R32" i="6"/>
  <c r="R25" i="6"/>
  <c r="L14" i="6"/>
  <c r="L45" i="6"/>
  <c r="O16" i="6"/>
  <c r="O8" i="6"/>
  <c r="R39" i="6"/>
  <c r="R8" i="6"/>
  <c r="O10" i="6"/>
  <c r="O26" i="6"/>
  <c r="O22" i="6"/>
  <c r="O36" i="6"/>
  <c r="O9" i="6"/>
  <c r="L31" i="6"/>
  <c r="U47" i="6"/>
  <c r="R46" i="6"/>
  <c r="R18" i="6"/>
  <c r="R24" i="6"/>
  <c r="O43" i="6"/>
  <c r="U9" i="6"/>
  <c r="L24" i="6"/>
  <c r="U18" i="6"/>
  <c r="L38" i="6"/>
  <c r="O34" i="6"/>
  <c r="AD35" i="6" s="1"/>
  <c r="L43" i="6"/>
  <c r="U24" i="6"/>
  <c r="L48" i="6"/>
  <c r="U37" i="6"/>
  <c r="L18" i="6"/>
  <c r="O7" i="6"/>
  <c r="U25" i="6"/>
  <c r="R22" i="6"/>
  <c r="R43" i="6"/>
  <c r="R9" i="6"/>
  <c r="O24" i="6"/>
  <c r="AD25" i="6" s="1"/>
  <c r="R14" i="6"/>
  <c r="U39" i="6"/>
  <c r="O44" i="6"/>
  <c r="R36" i="6"/>
  <c r="U40" i="6"/>
  <c r="U44" i="6"/>
  <c r="U17" i="6"/>
  <c r="R40" i="6"/>
  <c r="O12" i="6"/>
  <c r="U8" i="6"/>
  <c r="U13" i="6"/>
  <c r="R33" i="6"/>
  <c r="U11" i="6"/>
  <c r="R41" i="6"/>
  <c r="R10" i="6"/>
  <c r="R19" i="6"/>
  <c r="U14" i="6"/>
  <c r="L10" i="6"/>
  <c r="L17" i="6"/>
  <c r="L22" i="6"/>
  <c r="L33" i="6"/>
  <c r="U23" i="6"/>
  <c r="U41" i="6"/>
  <c r="O14" i="6"/>
  <c r="U45" i="6"/>
  <c r="O39" i="6"/>
  <c r="L13" i="6"/>
  <c r="U33" i="6"/>
  <c r="U36" i="6"/>
  <c r="R11" i="6"/>
  <c r="U20" i="6"/>
  <c r="R18" i="4"/>
  <c r="Q18" i="4"/>
  <c r="P18" i="4"/>
  <c r="F18" i="4"/>
  <c r="AH21" i="6" l="1"/>
  <c r="AH28" i="6"/>
  <c r="AH9" i="6"/>
  <c r="AH40" i="6"/>
  <c r="AH17" i="6"/>
  <c r="AH24" i="6"/>
  <c r="AH29" i="6"/>
  <c r="AH35" i="6"/>
  <c r="AC7" i="6"/>
  <c r="AC8" i="6" s="1"/>
  <c r="AC9" i="6" s="1"/>
  <c r="AC10" i="6" s="1"/>
  <c r="AC11" i="6" s="1"/>
  <c r="AC12" i="6" s="1"/>
  <c r="AC13" i="6" s="1"/>
  <c r="AC14" i="6" s="1"/>
  <c r="AC15" i="6" s="1"/>
  <c r="AC16" i="6" s="1"/>
  <c r="AC17" i="6" s="1"/>
  <c r="AC18" i="6" s="1"/>
  <c r="AC19" i="6" s="1"/>
  <c r="AC20" i="6" s="1"/>
  <c r="AC21" i="6" s="1"/>
  <c r="AC22" i="6" s="1"/>
  <c r="AC23" i="6" s="1"/>
  <c r="AC24" i="6" s="1"/>
  <c r="AC25" i="6" s="1"/>
  <c r="AC26" i="6" s="1"/>
  <c r="AC27" i="6" s="1"/>
  <c r="AC28" i="6" s="1"/>
  <c r="AC29" i="6" s="1"/>
  <c r="AC30" i="6" s="1"/>
  <c r="AC31" i="6" s="1"/>
  <c r="AC32" i="6" s="1"/>
  <c r="AC33" i="6" s="1"/>
  <c r="AC34" i="6" s="1"/>
  <c r="AC35" i="6" s="1"/>
  <c r="AC36" i="6" s="1"/>
  <c r="AC37" i="6" s="1"/>
  <c r="AC38" i="6" s="1"/>
  <c r="AC39" i="6" s="1"/>
  <c r="AC40" i="6" s="1"/>
  <c r="AC41" i="6" s="1"/>
  <c r="AC42" i="6" s="1"/>
  <c r="AC43" i="6" s="1"/>
  <c r="AC44" i="6" s="1"/>
  <c r="AC45" i="6" s="1"/>
  <c r="AC46" i="6" s="1"/>
  <c r="AC47" i="6" s="1"/>
  <c r="AC48" i="6" s="1"/>
  <c r="AC49" i="6" s="1"/>
  <c r="AC50" i="6" s="1"/>
  <c r="AH43" i="6"/>
  <c r="AH10" i="6"/>
  <c r="U34" i="6"/>
  <c r="AH15" i="6"/>
  <c r="AF7" i="6"/>
  <c r="AG7" i="6" s="1"/>
  <c r="AG8" i="6" s="1"/>
  <c r="AG9" i="6" s="1"/>
  <c r="AG10" i="6" s="1"/>
  <c r="AG11" i="6" s="1"/>
  <c r="AG12" i="6" s="1"/>
  <c r="AG13" i="6" s="1"/>
  <c r="AG14" i="6" s="1"/>
  <c r="AG15" i="6" s="1"/>
  <c r="AG16" i="6" s="1"/>
  <c r="AG17" i="6" s="1"/>
  <c r="AG18" i="6" s="1"/>
  <c r="AG19" i="6" s="1"/>
  <c r="AG20" i="6" s="1"/>
  <c r="AG21" i="6" s="1"/>
  <c r="AG22" i="6" s="1"/>
  <c r="AG23" i="6" s="1"/>
  <c r="AG24" i="6" s="1"/>
  <c r="AG25" i="6" s="1"/>
  <c r="AG26" i="6" s="1"/>
  <c r="AG27" i="6" s="1"/>
  <c r="AG28" i="6" s="1"/>
  <c r="AG29" i="6" s="1"/>
  <c r="AG30" i="6" s="1"/>
  <c r="AG31" i="6" s="1"/>
  <c r="AG32" i="6" s="1"/>
  <c r="AG33" i="6" s="1"/>
  <c r="AG34" i="6" s="1"/>
  <c r="AG35" i="6" s="1"/>
  <c r="AG36" i="6" s="1"/>
  <c r="AG37" i="6" s="1"/>
  <c r="AG38" i="6" s="1"/>
  <c r="AG39" i="6" s="1"/>
  <c r="AG40" i="6" s="1"/>
  <c r="AG41" i="6" s="1"/>
  <c r="AG42" i="6" s="1"/>
  <c r="AG43" i="6" s="1"/>
  <c r="AG44" i="6" s="1"/>
  <c r="AG45" i="6" s="1"/>
  <c r="AG46" i="6" s="1"/>
  <c r="AG47" i="6" s="1"/>
  <c r="AG48" i="6" s="1"/>
  <c r="AG49" i="6" s="1"/>
  <c r="AG50" i="6" s="1"/>
  <c r="U31" i="6"/>
  <c r="AH39" i="6"/>
  <c r="U35" i="6"/>
  <c r="AF44" i="6"/>
  <c r="AF49" i="6"/>
  <c r="AF28" i="6"/>
  <c r="AD22" i="6"/>
  <c r="AH22" i="6" s="1"/>
  <c r="AH48" i="6"/>
  <c r="AH8" i="6"/>
  <c r="AF23" i="6"/>
  <c r="U21" i="6"/>
  <c r="U30" i="6"/>
  <c r="AF27" i="6"/>
  <c r="AF29" i="6"/>
  <c r="AH33" i="6"/>
  <c r="AH37" i="6"/>
  <c r="AH14" i="6"/>
  <c r="U38" i="6"/>
  <c r="AH46" i="6"/>
  <c r="U7" i="6"/>
  <c r="AH25" i="6"/>
  <c r="U29" i="6"/>
  <c r="R21" i="6"/>
  <c r="AD7" i="6"/>
  <c r="AE7" i="6" s="1"/>
  <c r="AD32" i="6"/>
  <c r="AH32" i="6" s="1"/>
  <c r="AD33" i="6"/>
  <c r="AD28" i="6"/>
  <c r="AD26" i="6"/>
  <c r="AH26" i="6" s="1"/>
  <c r="AD48" i="6"/>
  <c r="AD41" i="6"/>
  <c r="AH41" i="6" s="1"/>
  <c r="AD15" i="6"/>
  <c r="AD30" i="6"/>
  <c r="AH30" i="6" s="1"/>
  <c r="AD18" i="6"/>
  <c r="AH18" i="6" s="1"/>
  <c r="AD50" i="6"/>
  <c r="AH50" i="6" s="1"/>
  <c r="AD8" i="6"/>
  <c r="AD20" i="6"/>
  <c r="AH20" i="6" s="1"/>
  <c r="AD40" i="6"/>
  <c r="AD31" i="6"/>
  <c r="AH31" i="6" s="1"/>
  <c r="AD24" i="6"/>
  <c r="AD49" i="6"/>
  <c r="AH49" i="6" s="1"/>
  <c r="AD47" i="6"/>
  <c r="AH47" i="6" s="1"/>
  <c r="AD9" i="6"/>
  <c r="AD43" i="6"/>
  <c r="AD45" i="6"/>
  <c r="AH45" i="6" s="1"/>
  <c r="AD44" i="6"/>
  <c r="AH44" i="6" s="1"/>
  <c r="AD27" i="6"/>
  <c r="AH27" i="6" s="1"/>
  <c r="AD17" i="6"/>
  <c r="AD36" i="6"/>
  <c r="AH36" i="6" s="1"/>
  <c r="AD23" i="6"/>
  <c r="AH23" i="6" s="1"/>
  <c r="AD10" i="6"/>
  <c r="AD12" i="6"/>
  <c r="AH12" i="6" s="1"/>
  <c r="AD38" i="6"/>
  <c r="AH38" i="6" s="1"/>
  <c r="AD19" i="6"/>
  <c r="AH19" i="6" s="1"/>
  <c r="AD34" i="6"/>
  <c r="AH34" i="6" s="1"/>
  <c r="AA13" i="6"/>
  <c r="AD37" i="6"/>
  <c r="AD16" i="6"/>
  <c r="AH16" i="6" s="1"/>
  <c r="AD21" i="6"/>
  <c r="AD14" i="6"/>
  <c r="AD42" i="6"/>
  <c r="AH42" i="6" s="1"/>
  <c r="AD13" i="6"/>
  <c r="AH13" i="6" s="1"/>
  <c r="AD11" i="6"/>
  <c r="AH11" i="6" s="1"/>
  <c r="N21" i="4"/>
  <c r="D18" i="4"/>
  <c r="E18" i="4"/>
  <c r="R6" i="4"/>
  <c r="AH7" i="6" l="1"/>
  <c r="AI7" i="6" s="1"/>
  <c r="AI8" i="6" s="1"/>
  <c r="AI9" i="6" s="1"/>
  <c r="AI10" i="6" s="1"/>
  <c r="AI11" i="6" s="1"/>
  <c r="AI12" i="6" s="1"/>
  <c r="AI13" i="6" s="1"/>
  <c r="AI14" i="6" s="1"/>
  <c r="AI15" i="6" s="1"/>
  <c r="AI16" i="6" s="1"/>
  <c r="AI17" i="6" s="1"/>
  <c r="AI18" i="6" s="1"/>
  <c r="AI19" i="6" s="1"/>
  <c r="AI20" i="6" s="1"/>
  <c r="AI21" i="6" s="1"/>
  <c r="AI22" i="6" s="1"/>
  <c r="AI23" i="6" s="1"/>
  <c r="AI24" i="6" s="1"/>
  <c r="AI25" i="6" s="1"/>
  <c r="AI26" i="6" s="1"/>
  <c r="AI27" i="6" s="1"/>
  <c r="AI28" i="6" s="1"/>
  <c r="AI29" i="6" s="1"/>
  <c r="AI30" i="6" s="1"/>
  <c r="AI31" i="6" s="1"/>
  <c r="AI32" i="6" s="1"/>
  <c r="AI33" i="6" s="1"/>
  <c r="AI34" i="6" s="1"/>
  <c r="AI35" i="6" s="1"/>
  <c r="AI36" i="6" s="1"/>
  <c r="AI37" i="6" s="1"/>
  <c r="AI38" i="6" s="1"/>
  <c r="AI39" i="6" s="1"/>
  <c r="AI40" i="6" s="1"/>
  <c r="AI41" i="6" s="1"/>
  <c r="AI42" i="6" s="1"/>
  <c r="AI43" i="6" s="1"/>
  <c r="AI44" i="6" s="1"/>
  <c r="AI45" i="6" s="1"/>
  <c r="AI46" i="6" s="1"/>
  <c r="AI47" i="6" s="1"/>
  <c r="AI48" i="6" s="1"/>
  <c r="AI49" i="6" s="1"/>
  <c r="AI50" i="6" s="1"/>
  <c r="AE8" i="6"/>
  <c r="AE9" i="6" s="1"/>
  <c r="AE10" i="6" s="1"/>
  <c r="AE11" i="6" s="1"/>
  <c r="AE12" i="6" s="1"/>
  <c r="AE13" i="6" s="1"/>
  <c r="AE14" i="6" s="1"/>
  <c r="AE15" i="6" s="1"/>
  <c r="AE16" i="6" s="1"/>
  <c r="AE17" i="6" s="1"/>
  <c r="AE18" i="6" s="1"/>
  <c r="AE19" i="6" s="1"/>
  <c r="AE20" i="6" s="1"/>
  <c r="AE21" i="6" s="1"/>
  <c r="AE22" i="6" s="1"/>
  <c r="AE23" i="6" s="1"/>
  <c r="AE24" i="6" s="1"/>
  <c r="AE25" i="6" s="1"/>
  <c r="AE26" i="6" s="1"/>
  <c r="AE27" i="6" s="1"/>
  <c r="AE28" i="6" s="1"/>
  <c r="AE29" i="6" s="1"/>
  <c r="AE30" i="6" s="1"/>
  <c r="AE31" i="6" s="1"/>
  <c r="AE32" i="6" s="1"/>
  <c r="AE33" i="6" s="1"/>
  <c r="AE34" i="6" s="1"/>
  <c r="AE35" i="6" s="1"/>
  <c r="AE36" i="6" s="1"/>
  <c r="AE37" i="6" s="1"/>
  <c r="AE38" i="6" s="1"/>
  <c r="AE39" i="6" s="1"/>
  <c r="AE40" i="6" s="1"/>
  <c r="AE41" i="6" s="1"/>
  <c r="AE42" i="6" s="1"/>
  <c r="AE43" i="6" s="1"/>
  <c r="AE44" i="6" s="1"/>
  <c r="AE45" i="6" s="1"/>
  <c r="AE46" i="6" s="1"/>
  <c r="AE47" i="6" s="1"/>
  <c r="AE48" i="6" s="1"/>
  <c r="AE49" i="6" s="1"/>
  <c r="AE50" i="6" s="1"/>
  <c r="AA14" i="6"/>
  <c r="O6" i="4"/>
  <c r="AA15" i="6" l="1"/>
  <c r="B57" i="4"/>
  <c r="B59" i="4" s="1"/>
  <c r="B21" i="4"/>
  <c r="AA16" i="6" l="1"/>
  <c r="G2" i="4"/>
  <c r="F2" i="4"/>
  <c r="AA17" i="6" l="1"/>
  <c r="R19" i="3"/>
  <c r="Q19" i="3"/>
  <c r="P19" i="3"/>
  <c r="AA18" i="6" l="1"/>
  <c r="D19" i="3"/>
  <c r="AA19" i="6" l="1"/>
  <c r="E19" i="3"/>
  <c r="F19" i="3" s="1"/>
  <c r="AA20" i="6" l="1"/>
  <c r="E2" i="3"/>
  <c r="AA21" i="6" l="1"/>
  <c r="F7" i="3"/>
  <c r="G2" i="2"/>
  <c r="F2" i="2"/>
  <c r="E2" i="1"/>
  <c r="AA22" i="6" l="1"/>
  <c r="B22" i="3"/>
  <c r="AA23" i="6" l="1"/>
  <c r="AA24" i="6" l="1"/>
  <c r="AA25" i="6" l="1"/>
  <c r="AA26" i="6" l="1"/>
  <c r="AA27" i="6" l="1"/>
  <c r="AA28" i="6" l="1"/>
  <c r="AA29" i="6" l="1"/>
  <c r="AA30" i="6" l="1"/>
  <c r="AA31" i="6" l="1"/>
  <c r="AA32" i="6" l="1"/>
  <c r="AA33" i="6" l="1"/>
  <c r="AA34" i="6" l="1"/>
  <c r="AA35" i="6" l="1"/>
  <c r="AA36" i="6" l="1"/>
  <c r="AA37" i="6" l="1"/>
  <c r="AA38" i="6" l="1"/>
  <c r="AA39" i="6" l="1"/>
  <c r="AA40" i="6" l="1"/>
  <c r="AA41" i="6" l="1"/>
  <c r="AA42" i="6" l="1"/>
  <c r="AA43" i="6" l="1"/>
  <c r="AA44" i="6" l="1"/>
  <c r="AA45" i="6" l="1"/>
  <c r="AA46" i="6" l="1"/>
  <c r="AA47" i="6" l="1"/>
  <c r="AA48" i="6" l="1"/>
  <c r="AA49" i="6" l="1"/>
  <c r="AA50" i="6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<sst xmlns="http://schemas.openxmlformats.org/spreadsheetml/2006/main" count="188" uniqueCount="73">
  <si>
    <t>Maturité</t>
  </si>
  <si>
    <t>Strike</t>
  </si>
  <si>
    <t>Date</t>
  </si>
  <si>
    <t>Euro Stoxx 50</t>
  </si>
  <si>
    <t>Taux 12M</t>
  </si>
  <si>
    <t>Prix Option</t>
  </si>
  <si>
    <t>VI</t>
  </si>
  <si>
    <t>Matu_resi</t>
  </si>
  <si>
    <t>Gamma</t>
  </si>
  <si>
    <t>Theta</t>
  </si>
  <si>
    <t>Vega</t>
  </si>
  <si>
    <t>Delta</t>
  </si>
  <si>
    <t>P&amp;L Journalier</t>
  </si>
  <si>
    <t>Variation Vol</t>
  </si>
  <si>
    <t>Perf%</t>
  </si>
  <si>
    <t>Estimation P&amp;L</t>
  </si>
  <si>
    <t>Variation Volatilité implicite</t>
  </si>
  <si>
    <t>Performance Indice</t>
  </si>
  <si>
    <t>Variation Perf</t>
  </si>
  <si>
    <t>Matu_resi_Put1</t>
  </si>
  <si>
    <t>Matu_resi_Put2</t>
  </si>
  <si>
    <t>Delta_Put1</t>
  </si>
  <si>
    <t>Delta_Put2</t>
  </si>
  <si>
    <t>Delta_Strat</t>
  </si>
  <si>
    <t>Gamma_Put1</t>
  </si>
  <si>
    <t>Gamma_Put2</t>
  </si>
  <si>
    <t>Gamma_Strat</t>
  </si>
  <si>
    <t>Theta_Put1</t>
  </si>
  <si>
    <t>Theta_Put2</t>
  </si>
  <si>
    <t>Theta_Strat</t>
  </si>
  <si>
    <t>Vega_Put1</t>
  </si>
  <si>
    <t>Vega_Put2</t>
  </si>
  <si>
    <t>Vega_Strat</t>
  </si>
  <si>
    <t>P&amp;L</t>
  </si>
  <si>
    <t>Volatilité_Réalisée</t>
  </si>
  <si>
    <t>Matu</t>
  </si>
  <si>
    <t>Check_Formule</t>
  </si>
  <si>
    <t>Perf_lindice</t>
  </si>
  <si>
    <t>Cum</t>
  </si>
  <si>
    <t>P&amp;L Put</t>
  </si>
  <si>
    <t>P&amp;L_Total</t>
  </si>
  <si>
    <t>P&amp;L_Cumulé</t>
  </si>
  <si>
    <t>P&amp;L_Total_Cumulé</t>
  </si>
  <si>
    <t>Delta_P&amp;L</t>
  </si>
  <si>
    <t>Delta_P&amp;L_Cumulé</t>
  </si>
  <si>
    <t>Gamma+Theta P&amp;L_Cumulé</t>
  </si>
  <si>
    <t>Gamma+Theta_P&amp;L</t>
  </si>
  <si>
    <t>Vega_ P&amp;L</t>
  </si>
  <si>
    <t>Vega_P&amp;L_Cumulé</t>
  </si>
  <si>
    <t>P&amp;L_Taylor</t>
  </si>
  <si>
    <t>P&amp;L_Indice</t>
  </si>
  <si>
    <t>P&amp;L_Put1</t>
  </si>
  <si>
    <t>P&amp;L_Put2</t>
  </si>
  <si>
    <t>P&amp;L_Stratégie</t>
  </si>
  <si>
    <t>P&amp;L Delta</t>
  </si>
  <si>
    <t>P&amp;Lvega</t>
  </si>
  <si>
    <t>P&amp;L Sensi cumulé</t>
  </si>
  <si>
    <t>P&amp;L Stratégie cumulé</t>
  </si>
  <si>
    <t>P&amp;L_Taylor_Cumulé</t>
  </si>
  <si>
    <t>Avec Black Scholes</t>
  </si>
  <si>
    <t>Méthode Empirique</t>
  </si>
  <si>
    <t>I/ Contribution Delta (Put1+Put2) + Gamma (Put1 + Put2) + Theta(Put1+Put2) + Vega Put1</t>
  </si>
  <si>
    <t>II/ Contribution Vega( Put2)</t>
  </si>
  <si>
    <t>III/ Final Table</t>
  </si>
  <si>
    <t>P&amp;L Gamma+Theta</t>
  </si>
  <si>
    <t>P&amp;L Gamma +Theta cumulé</t>
  </si>
  <si>
    <t>P&amp;L Delta cumulé</t>
  </si>
  <si>
    <t>P&amp;L Vega cumulé</t>
  </si>
  <si>
    <t>P&amp;L Sensi</t>
  </si>
  <si>
    <t>P&amp;L_Indice cumulé</t>
  </si>
  <si>
    <t>Implied Volatility Variation</t>
  </si>
  <si>
    <t>Index Return</t>
  </si>
  <si>
    <t>Index return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</si>
</sst>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_-* #,##0.00\ _€_-;\-* #,##0.00\ _€_-;_-* &quot;-&quot;??\ _€_-;_-@_-"/>
    <numFmt numFmtId="165" formatCode="0.0%"/>
  </numFmts>
  <fonts count="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9"/>
      <color rgb="FF000000"/>
      <name val="Arial"/>
      <family val="2"/>
    </font>
    <font>
      <b/>
      <sz val="12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00B050"/>
        <bgColor indexed="64"/>
      </patternFill>
    </fill>
  </fills>
  <borders count="12">
    <border>
      <left/>
      <right/>
      <top/>
      <bottom/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medium">
        <color rgb="FF000000"/>
      </left>
      <right/>
      <top style="medium">
        <color rgb="FF000000"/>
      </top>
      <bottom/>
      <diagonal/>
    </border>
    <border>
      <left/>
      <right style="medium">
        <color rgb="FF000000"/>
      </right>
      <top style="medium">
        <color rgb="FF000000"/>
      </top>
      <bottom/>
      <diagonal/>
    </border>
    <border>
      <left style="medium">
        <color rgb="FF000000"/>
      </left>
      <right/>
      <top/>
      <bottom style="medium">
        <color rgb="FF000000"/>
      </bottom>
      <diagonal/>
    </border>
    <border>
      <left/>
      <right style="medium">
        <color rgb="FF000000"/>
      </right>
      <top/>
      <bottom style="medium">
        <color rgb="FF000000"/>
      </bottom>
      <diagonal/>
    </border>
    <border>
      <left style="medium">
        <color rgb="FF000000"/>
      </left>
      <right/>
      <top style="medium">
        <color rgb="FF000000"/>
      </top>
      <bottom style="medium">
        <color rgb="FF000000"/>
      </bottom>
      <diagonal/>
    </border>
    <border>
      <left/>
      <right/>
      <top style="medium">
        <color rgb="FF000000"/>
      </top>
      <bottom style="medium">
        <color rgb="FF000000"/>
      </bottom>
      <diagonal/>
    </border>
    <border>
      <left/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/>
      <diagonal/>
    </border>
    <border>
      <left style="medium">
        <color rgb="FF000000"/>
      </left>
      <right style="medium">
        <color rgb="FF000000"/>
      </right>
      <top/>
      <bottom/>
      <diagonal/>
    </border>
    <border>
      <left style="medium">
        <color rgb="FF000000"/>
      </left>
      <right style="medium">
        <color rgb="FF000000"/>
      </right>
      <top/>
      <bottom style="medium">
        <color rgb="FF000000"/>
      </bottom>
      <diagonal/>
    </border>
  </borders>
  <cellStyleXfs count="3">
    <xf numFmtId="0" fontId="0" fillId="0" borderId="0"/>
    <xf numFmtId="164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39">
    <xf numFmtId="0" fontId="0" fillId="0" borderId="0" xfId="0"/>
    <xf numFmtId="0" fontId="0" fillId="0" borderId="0" xfId="0" applyAlignment="1">
      <alignment horizontal="center" vertical="center"/>
    </xf>
    <xf numFmtId="14" fontId="0" fillId="0" borderId="0" xfId="0" applyNumberFormat="1" applyAlignment="1">
      <alignment horizontal="center" vertical="center"/>
    </xf>
    <xf numFmtId="14" fontId="0" fillId="0" borderId="0" xfId="0" applyNumberFormat="1"/>
    <xf numFmtId="9" fontId="0" fillId="0" borderId="0" xfId="0" applyNumberFormat="1" applyAlignment="1">
      <alignment horizontal="center" vertical="center"/>
    </xf>
    <xf numFmtId="164" fontId="0" fillId="0" borderId="0" xfId="1" applyFont="1"/>
    <xf numFmtId="0" fontId="0" fillId="0" borderId="0" xfId="0" applyAlignment="1">
      <alignment horizontal="center" vertical="center" wrapText="1"/>
    </xf>
    <xf numFmtId="10" fontId="0" fillId="0" borderId="0" xfId="2" applyNumberFormat="1" applyFont="1"/>
    <xf numFmtId="165" fontId="0" fillId="0" borderId="0" xfId="2" applyNumberFormat="1" applyFont="1"/>
    <xf numFmtId="165" fontId="0" fillId="0" borderId="0" xfId="0" applyNumberFormat="1"/>
    <xf numFmtId="0" fontId="2" fillId="0" borderId="2" xfId="0" applyFont="1" applyBorder="1" applyAlignment="1">
      <alignment horizontal="center" vertical="center" wrapText="1"/>
    </xf>
    <xf numFmtId="0" fontId="2" fillId="0" borderId="6" xfId="0" applyFont="1" applyBorder="1" applyAlignment="1">
      <alignment horizontal="center" vertical="center" wrapText="1"/>
    </xf>
    <xf numFmtId="9" fontId="2" fillId="0" borderId="1" xfId="0" applyNumberFormat="1" applyFont="1" applyBorder="1" applyAlignment="1">
      <alignment horizontal="center" vertical="center" wrapText="1"/>
    </xf>
    <xf numFmtId="0" fontId="2" fillId="0" borderId="1" xfId="0" applyFont="1" applyBorder="1" applyAlignment="1">
      <alignment horizontal="center" vertical="center" wrapText="1"/>
    </xf>
    <xf numFmtId="0" fontId="2" fillId="0" borderId="3" xfId="0" applyFont="1" applyBorder="1" applyAlignment="1">
      <alignment horizontal="center" vertical="center" wrapText="1"/>
    </xf>
    <xf numFmtId="0" fontId="2" fillId="0" borderId="7" xfId="0" applyFont="1" applyBorder="1" applyAlignment="1">
      <alignment horizontal="center" vertical="center" wrapText="1"/>
    </xf>
    <xf numFmtId="0" fontId="2" fillId="0" borderId="8" xfId="0" applyFont="1" applyBorder="1" applyAlignment="1">
      <alignment horizontal="center" vertical="center" wrapText="1"/>
    </xf>
    <xf numFmtId="0" fontId="2" fillId="0" borderId="4" xfId="0" applyFont="1" applyBorder="1" applyAlignment="1">
      <alignment horizontal="center" vertical="center" wrapText="1"/>
    </xf>
    <xf numFmtId="0" fontId="2" fillId="0" borderId="5" xfId="0" applyFont="1" applyBorder="1" applyAlignment="1">
      <alignment horizontal="center" vertical="center" wrapText="1"/>
    </xf>
    <xf numFmtId="0" fontId="0" fillId="2" borderId="0" xfId="0" applyFill="1"/>
    <xf numFmtId="164" fontId="0" fillId="0" borderId="0" xfId="0" applyNumberFormat="1"/>
    <xf numFmtId="164" fontId="2" fillId="0" borderId="5" xfId="0" applyNumberFormat="1" applyFont="1" applyBorder="1" applyAlignment="1">
      <alignment horizontal="center" vertical="center" wrapText="1"/>
    </xf>
    <xf numFmtId="0" fontId="0" fillId="2" borderId="0" xfId="0" applyFill="1" applyAlignment="1">
      <alignment horizontal="center" vertical="center" wrapText="1"/>
    </xf>
    <xf numFmtId="9" fontId="0" fillId="0" borderId="0" xfId="2" applyFont="1"/>
    <xf numFmtId="0" fontId="3" fillId="3" borderId="0" xfId="0" applyFont="1" applyFill="1"/>
    <xf numFmtId="0" fontId="0" fillId="3" borderId="0" xfId="0" applyFill="1"/>
    <xf numFmtId="9" fontId="2" fillId="2" borderId="1" xfId="0" applyNumberFormat="1" applyFont="1" applyFill="1" applyBorder="1" applyAlignment="1">
      <alignment horizontal="center" vertical="center" wrapText="1"/>
    </xf>
    <xf numFmtId="0" fontId="2" fillId="2" borderId="1" xfId="0" applyFont="1" applyFill="1" applyBorder="1" applyAlignment="1">
      <alignment horizontal="center" vertical="center" wrapText="1"/>
    </xf>
    <xf numFmtId="0" fontId="0" fillId="4" borderId="0" xfId="0" applyFill="1"/>
    <xf numFmtId="164" fontId="0" fillId="4" borderId="0" xfId="0" applyNumberFormat="1" applyFill="1"/>
    <xf numFmtId="164" fontId="0" fillId="2" borderId="0" xfId="0" applyNumberFormat="1" applyFill="1"/>
    <xf numFmtId="0" fontId="2" fillId="0" borderId="9" xfId="0" applyFont="1" applyBorder="1" applyAlignment="1">
      <alignment horizontal="center" vertical="center" wrapText="1"/>
    </xf>
    <xf numFmtId="0" fontId="2" fillId="0" borderId="10" xfId="0" applyFont="1" applyBorder="1" applyAlignment="1">
      <alignment horizontal="center" vertical="center" wrapText="1"/>
    </xf>
    <xf numFmtId="0" fontId="2" fillId="0" borderId="11" xfId="0" applyFont="1" applyBorder="1" applyAlignment="1">
      <alignment horizontal="center" vertical="center" wrapText="1"/>
    </xf>
    <xf numFmtId="0" fontId="2" fillId="0" borderId="6" xfId="0" applyFont="1" applyBorder="1" applyAlignment="1">
      <alignment horizontal="center" vertical="center" wrapText="1"/>
    </xf>
    <xf numFmtId="0" fontId="2" fillId="0" borderId="7" xfId="0" applyFont="1" applyBorder="1" applyAlignment="1">
      <alignment horizontal="center" vertical="center" wrapText="1"/>
    </xf>
    <xf numFmtId="0" fontId="2" fillId="0" borderId="8" xfId="0" applyFont="1" applyBorder="1" applyAlignment="1">
      <alignment horizontal="center" vertical="center" wrapText="1"/>
    </xf>
    <xf numFmtId="0" fontId="2" fillId="0" borderId="2" xfId="0" applyFont="1" applyBorder="1" applyAlignment="1">
      <alignment horizontal="center" vertical="center" wrapText="1"/>
    </xf>
    <xf numFmtId="0" fontId="2" fillId="0" borderId="4" xfId="0" applyFont="1" applyBorder="1" applyAlignment="1">
      <alignment horizontal="center" vertical="center" wrapText="1"/>
    </xf>
  </cellXfs>
  <cellStyles count="3">
    <cellStyle name="Milliers" xfId="1" builtinId="3"/>
    <cellStyle name="Normal" xfId="0" builtinId="0"/>
    <cellStyle name="Pourcentage" xfId="2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'Backtest Stratégie 1'!$T$5</c:f>
              <c:strCache>
                <c:ptCount val="1"/>
                <c:pt idx="0">
                  <c:v>P&amp;L_Total_Cumulé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'Backtest Stratégie 1'!$A$6:$A$50</c:f>
              <c:numCache>
                <c:formatCode>m/d/yyyy</c:formatCode>
                <c:ptCount val="45"/>
                <c:pt idx="0">
                  <c:v>39598</c:v>
                </c:pt>
                <c:pt idx="1">
                  <c:v>39601</c:v>
                </c:pt>
                <c:pt idx="2">
                  <c:v>39602</c:v>
                </c:pt>
                <c:pt idx="3">
                  <c:v>39603</c:v>
                </c:pt>
                <c:pt idx="4">
                  <c:v>39604</c:v>
                </c:pt>
                <c:pt idx="5">
                  <c:v>39605</c:v>
                </c:pt>
                <c:pt idx="6">
                  <c:v>39608</c:v>
                </c:pt>
                <c:pt idx="7">
                  <c:v>39609</c:v>
                </c:pt>
                <c:pt idx="8">
                  <c:v>39610</c:v>
                </c:pt>
                <c:pt idx="9">
                  <c:v>39611</c:v>
                </c:pt>
                <c:pt idx="10">
                  <c:v>39612</c:v>
                </c:pt>
                <c:pt idx="11">
                  <c:v>39615</c:v>
                </c:pt>
                <c:pt idx="12">
                  <c:v>39616</c:v>
                </c:pt>
                <c:pt idx="13">
                  <c:v>39617</c:v>
                </c:pt>
                <c:pt idx="14">
                  <c:v>39618</c:v>
                </c:pt>
                <c:pt idx="15">
                  <c:v>39619</c:v>
                </c:pt>
                <c:pt idx="16">
                  <c:v>39622</c:v>
                </c:pt>
                <c:pt idx="17">
                  <c:v>39623</c:v>
                </c:pt>
                <c:pt idx="18">
                  <c:v>39624</c:v>
                </c:pt>
                <c:pt idx="19">
                  <c:v>39625</c:v>
                </c:pt>
                <c:pt idx="20">
                  <c:v>39626</c:v>
                </c:pt>
                <c:pt idx="21">
                  <c:v>39629</c:v>
                </c:pt>
                <c:pt idx="22">
                  <c:v>39630</c:v>
                </c:pt>
                <c:pt idx="23">
                  <c:v>39631</c:v>
                </c:pt>
                <c:pt idx="24">
                  <c:v>39632</c:v>
                </c:pt>
                <c:pt idx="25">
                  <c:v>39633</c:v>
                </c:pt>
                <c:pt idx="26">
                  <c:v>39636</c:v>
                </c:pt>
                <c:pt idx="27">
                  <c:v>39637</c:v>
                </c:pt>
                <c:pt idx="28">
                  <c:v>39638</c:v>
                </c:pt>
                <c:pt idx="29">
                  <c:v>39639</c:v>
                </c:pt>
                <c:pt idx="30">
                  <c:v>39640</c:v>
                </c:pt>
                <c:pt idx="31">
                  <c:v>39643</c:v>
                </c:pt>
                <c:pt idx="32">
                  <c:v>39644</c:v>
                </c:pt>
                <c:pt idx="33">
                  <c:v>39645</c:v>
                </c:pt>
                <c:pt idx="34">
                  <c:v>39646</c:v>
                </c:pt>
                <c:pt idx="35">
                  <c:v>39647</c:v>
                </c:pt>
                <c:pt idx="36">
                  <c:v>39650</c:v>
                </c:pt>
                <c:pt idx="37">
                  <c:v>39651</c:v>
                </c:pt>
                <c:pt idx="38">
                  <c:v>39652</c:v>
                </c:pt>
                <c:pt idx="39">
                  <c:v>39653</c:v>
                </c:pt>
                <c:pt idx="40">
                  <c:v>39654</c:v>
                </c:pt>
                <c:pt idx="41">
                  <c:v>39657</c:v>
                </c:pt>
                <c:pt idx="42">
                  <c:v>39658</c:v>
                </c:pt>
                <c:pt idx="43">
                  <c:v>39659</c:v>
                </c:pt>
                <c:pt idx="44">
                  <c:v>39660</c:v>
                </c:pt>
              </c:numCache>
            </c:numRef>
          </c:cat>
          <c:val>
            <c:numRef>
              <c:f>'Backtest Stratégie 1'!$T$6:$T$50</c:f>
              <c:numCache>
                <c:formatCode>_-* #\ ##0.00\ _€_-;\-* #\ ##0.00\ _€_-;_-* "-"??\ _€_-;_-@_-</c:formatCode>
                <c:ptCount val="45"/>
                <c:pt idx="1">
                  <c:v>-39.549999999999898</c:v>
                </c:pt>
                <c:pt idx="2">
                  <c:v>-29.809999999999775</c:v>
                </c:pt>
                <c:pt idx="3">
                  <c:v>-57.999999999999716</c:v>
                </c:pt>
                <c:pt idx="4">
                  <c:v>-74.21999999999997</c:v>
                </c:pt>
                <c:pt idx="5">
                  <c:v>-132.75000000000009</c:v>
                </c:pt>
                <c:pt idx="6">
                  <c:v>-129.60999999999976</c:v>
                </c:pt>
                <c:pt idx="7">
                  <c:v>-146.15000000000009</c:v>
                </c:pt>
                <c:pt idx="8">
                  <c:v>-189.96000000000004</c:v>
                </c:pt>
                <c:pt idx="9">
                  <c:v>-173.05999999999977</c:v>
                </c:pt>
                <c:pt idx="10">
                  <c:v>-165.47999999999985</c:v>
                </c:pt>
                <c:pt idx="11">
                  <c:v>-191.11999999999998</c:v>
                </c:pt>
                <c:pt idx="12">
                  <c:v>-179.36999999999998</c:v>
                </c:pt>
                <c:pt idx="13">
                  <c:v>-205.18000000000012</c:v>
                </c:pt>
                <c:pt idx="14">
                  <c:v>-223.43999999999988</c:v>
                </c:pt>
                <c:pt idx="15">
                  <c:v>-256.27</c:v>
                </c:pt>
                <c:pt idx="16">
                  <c:v>-261.41999999999996</c:v>
                </c:pt>
                <c:pt idx="17">
                  <c:v>-274.7299999999999</c:v>
                </c:pt>
                <c:pt idx="18">
                  <c:v>-249.04999999999981</c:v>
                </c:pt>
                <c:pt idx="19">
                  <c:v>-301.2</c:v>
                </c:pt>
                <c:pt idx="20">
                  <c:v>-318.9799999999999</c:v>
                </c:pt>
                <c:pt idx="21">
                  <c:v>-320.53999999999996</c:v>
                </c:pt>
                <c:pt idx="22">
                  <c:v>-352.78999999999979</c:v>
                </c:pt>
                <c:pt idx="23">
                  <c:v>-355.12999999999994</c:v>
                </c:pt>
                <c:pt idx="24">
                  <c:v>-332.3499999999998</c:v>
                </c:pt>
                <c:pt idx="25">
                  <c:v>-356.85000000000008</c:v>
                </c:pt>
                <c:pt idx="26">
                  <c:v>-328.69000000000005</c:v>
                </c:pt>
                <c:pt idx="27">
                  <c:v>-349.25</c:v>
                </c:pt>
                <c:pt idx="28">
                  <c:v>-325.26999999999987</c:v>
                </c:pt>
                <c:pt idx="29">
                  <c:v>-348.03999999999968</c:v>
                </c:pt>
                <c:pt idx="30">
                  <c:v>-387.86999999999972</c:v>
                </c:pt>
                <c:pt idx="31">
                  <c:v>-383.81000000000012</c:v>
                </c:pt>
                <c:pt idx="32">
                  <c:v>-417.4199999999999</c:v>
                </c:pt>
                <c:pt idx="33">
                  <c:v>-402.28999999999968</c:v>
                </c:pt>
                <c:pt idx="34">
                  <c:v>-372.55999999999977</c:v>
                </c:pt>
                <c:pt idx="35">
                  <c:v>-340.11999999999972</c:v>
                </c:pt>
                <c:pt idx="36">
                  <c:v>-335.92999999999984</c:v>
                </c:pt>
                <c:pt idx="37">
                  <c:v>-343.71000000000015</c:v>
                </c:pt>
                <c:pt idx="38">
                  <c:v>-310.44999999999993</c:v>
                </c:pt>
                <c:pt idx="39">
                  <c:v>-321.37</c:v>
                </c:pt>
                <c:pt idx="40">
                  <c:v>-326.31999999999982</c:v>
                </c:pt>
                <c:pt idx="41">
                  <c:v>-345.74000000000007</c:v>
                </c:pt>
                <c:pt idx="42">
                  <c:v>-342.38999999999976</c:v>
                </c:pt>
                <c:pt idx="43">
                  <c:v>-323.02</c:v>
                </c:pt>
                <c:pt idx="44">
                  <c:v>-318.12999999999977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93C-4111-95E6-4B5B40D6622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29990751"/>
        <c:axId val="329991231"/>
      </c:lineChart>
      <c:dateAx>
        <c:axId val="329990751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329991231"/>
        <c:crosses val="autoZero"/>
        <c:auto val="1"/>
        <c:lblOffset val="100"/>
        <c:baseTimeUnit val="days"/>
      </c:dateAx>
      <c:valAx>
        <c:axId val="32999123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329990751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'Backtest Stratégie 1'!$N$5</c:f>
              <c:strCache>
                <c:ptCount val="1"/>
                <c:pt idx="0">
                  <c:v>Perf_lindice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'Backtest Stratégie 1'!$A$6:$A$50</c:f>
              <c:numCache>
                <c:formatCode>m/d/yyyy</c:formatCode>
                <c:ptCount val="45"/>
                <c:pt idx="0">
                  <c:v>39598</c:v>
                </c:pt>
                <c:pt idx="1">
                  <c:v>39601</c:v>
                </c:pt>
                <c:pt idx="2">
                  <c:v>39602</c:v>
                </c:pt>
                <c:pt idx="3">
                  <c:v>39603</c:v>
                </c:pt>
                <c:pt idx="4">
                  <c:v>39604</c:v>
                </c:pt>
                <c:pt idx="5">
                  <c:v>39605</c:v>
                </c:pt>
                <c:pt idx="6">
                  <c:v>39608</c:v>
                </c:pt>
                <c:pt idx="7">
                  <c:v>39609</c:v>
                </c:pt>
                <c:pt idx="8">
                  <c:v>39610</c:v>
                </c:pt>
                <c:pt idx="9">
                  <c:v>39611</c:v>
                </c:pt>
                <c:pt idx="10">
                  <c:v>39612</c:v>
                </c:pt>
                <c:pt idx="11">
                  <c:v>39615</c:v>
                </c:pt>
                <c:pt idx="12">
                  <c:v>39616</c:v>
                </c:pt>
                <c:pt idx="13">
                  <c:v>39617</c:v>
                </c:pt>
                <c:pt idx="14">
                  <c:v>39618</c:v>
                </c:pt>
                <c:pt idx="15">
                  <c:v>39619</c:v>
                </c:pt>
                <c:pt idx="16">
                  <c:v>39622</c:v>
                </c:pt>
                <c:pt idx="17">
                  <c:v>39623</c:v>
                </c:pt>
                <c:pt idx="18">
                  <c:v>39624</c:v>
                </c:pt>
                <c:pt idx="19">
                  <c:v>39625</c:v>
                </c:pt>
                <c:pt idx="20">
                  <c:v>39626</c:v>
                </c:pt>
                <c:pt idx="21">
                  <c:v>39629</c:v>
                </c:pt>
                <c:pt idx="22">
                  <c:v>39630</c:v>
                </c:pt>
                <c:pt idx="23">
                  <c:v>39631</c:v>
                </c:pt>
                <c:pt idx="24">
                  <c:v>39632</c:v>
                </c:pt>
                <c:pt idx="25">
                  <c:v>39633</c:v>
                </c:pt>
                <c:pt idx="26">
                  <c:v>39636</c:v>
                </c:pt>
                <c:pt idx="27">
                  <c:v>39637</c:v>
                </c:pt>
                <c:pt idx="28">
                  <c:v>39638</c:v>
                </c:pt>
                <c:pt idx="29">
                  <c:v>39639</c:v>
                </c:pt>
                <c:pt idx="30">
                  <c:v>39640</c:v>
                </c:pt>
                <c:pt idx="31">
                  <c:v>39643</c:v>
                </c:pt>
                <c:pt idx="32">
                  <c:v>39644</c:v>
                </c:pt>
                <c:pt idx="33">
                  <c:v>39645</c:v>
                </c:pt>
                <c:pt idx="34">
                  <c:v>39646</c:v>
                </c:pt>
                <c:pt idx="35">
                  <c:v>39647</c:v>
                </c:pt>
                <c:pt idx="36">
                  <c:v>39650</c:v>
                </c:pt>
                <c:pt idx="37">
                  <c:v>39651</c:v>
                </c:pt>
                <c:pt idx="38">
                  <c:v>39652</c:v>
                </c:pt>
                <c:pt idx="39">
                  <c:v>39653</c:v>
                </c:pt>
                <c:pt idx="40">
                  <c:v>39654</c:v>
                </c:pt>
                <c:pt idx="41">
                  <c:v>39657</c:v>
                </c:pt>
                <c:pt idx="42">
                  <c:v>39658</c:v>
                </c:pt>
                <c:pt idx="43">
                  <c:v>39659</c:v>
                </c:pt>
                <c:pt idx="44">
                  <c:v>39660</c:v>
                </c:pt>
              </c:numCache>
            </c:numRef>
          </c:cat>
          <c:val>
            <c:numRef>
              <c:f>'Backtest Stratégie 1'!$N$6:$N$50</c:f>
              <c:numCache>
                <c:formatCode>General</c:formatCode>
                <c:ptCount val="45"/>
                <c:pt idx="1">
                  <c:v>-1.5180592135738557E-2</c:v>
                </c:pt>
                <c:pt idx="2">
                  <c:v>4.5262733503561737E-3</c:v>
                </c:pt>
                <c:pt idx="3">
                  <c:v>-1.0245254646352743E-2</c:v>
                </c:pt>
                <c:pt idx="4">
                  <c:v>-4.3849096389614239E-3</c:v>
                </c:pt>
                <c:pt idx="5">
                  <c:v>-2.3386906265019051E-2</c:v>
                </c:pt>
                <c:pt idx="6">
                  <c:v>1.7794089026060763E-4</c:v>
                </c:pt>
                <c:pt idx="7">
                  <c:v>-6.2935391150128498E-3</c:v>
                </c:pt>
                <c:pt idx="8">
                  <c:v>-1.8270064620807325E-2</c:v>
                </c:pt>
                <c:pt idx="9">
                  <c:v>9.4603335622430885E-3</c:v>
                </c:pt>
                <c:pt idx="10">
                  <c:v>5.6681693337360308E-3</c:v>
                </c:pt>
                <c:pt idx="11">
                  <c:v>-8.3757406664103449E-3</c:v>
                </c:pt>
                <c:pt idx="12">
                  <c:v>6.4395965840416888E-3</c:v>
                </c:pt>
                <c:pt idx="13">
                  <c:v>-1.3390220442234495E-2</c:v>
                </c:pt>
                <c:pt idx="14">
                  <c:v>-6.0604851238749945E-3</c:v>
                </c:pt>
                <c:pt idx="15">
                  <c:v>-1.7245483564735844E-2</c:v>
                </c:pt>
                <c:pt idx="16">
                  <c:v>2.188771311336668E-4</c:v>
                </c:pt>
                <c:pt idx="17">
                  <c:v>-6.6553264494518902E-3</c:v>
                </c:pt>
                <c:pt idx="18">
                  <c:v>1.6413473852408007E-2</c:v>
                </c:pt>
                <c:pt idx="19">
                  <c:v>-2.7178938850999937E-2</c:v>
                </c:pt>
                <c:pt idx="20">
                  <c:v>-7.7472633564542983E-3</c:v>
                </c:pt>
                <c:pt idx="21">
                  <c:v>3.7541875357381179E-3</c:v>
                </c:pt>
                <c:pt idx="22">
                  <c:v>-1.7880524097697102E-2</c:v>
                </c:pt>
                <c:pt idx="23">
                  <c:v>-1.3180031947911982E-3</c:v>
                </c:pt>
                <c:pt idx="24">
                  <c:v>1.2887256273338799E-2</c:v>
                </c:pt>
                <c:pt idx="25">
                  <c:v>-1.6722207211264304E-2</c:v>
                </c:pt>
                <c:pt idx="26">
                  <c:v>1.7543966780654629E-2</c:v>
                </c:pt>
                <c:pt idx="27">
                  <c:v>-1.35207311876999E-2</c:v>
                </c:pt>
                <c:pt idx="28">
                  <c:v>1.6693028348947595E-2</c:v>
                </c:pt>
                <c:pt idx="29">
                  <c:v>-1.7792178262846688E-2</c:v>
                </c:pt>
                <c:pt idx="30">
                  <c:v>-2.5960932193322597E-2</c:v>
                </c:pt>
                <c:pt idx="31">
                  <c:v>5.7727548486761378E-3</c:v>
                </c:pt>
                <c:pt idx="32">
                  <c:v>-2.285588140188536E-2</c:v>
                </c:pt>
                <c:pt idx="33">
                  <c:v>1.0191775940026728E-2</c:v>
                </c:pt>
                <c:pt idx="34">
                  <c:v>2.561768448638635E-2</c:v>
                </c:pt>
                <c:pt idx="35">
                  <c:v>2.0097724571495276E-2</c:v>
                </c:pt>
                <c:pt idx="36">
                  <c:v>3.7302086688965242E-3</c:v>
                </c:pt>
                <c:pt idx="37">
                  <c:v>-2.3035945673562327E-3</c:v>
                </c:pt>
                <c:pt idx="38">
                  <c:v>1.8417191784116667E-2</c:v>
                </c:pt>
                <c:pt idx="39">
                  <c:v>-9.718081180811829E-3</c:v>
                </c:pt>
                <c:pt idx="40">
                  <c:v>-1.0284446935234272E-3</c:v>
                </c:pt>
                <c:pt idx="41">
                  <c:v>-1.1255904724675036E-2</c:v>
                </c:pt>
                <c:pt idx="42">
                  <c:v>3.455654446627575E-3</c:v>
                </c:pt>
                <c:pt idx="43">
                  <c:v>1.2773470161149582E-2</c:v>
                </c:pt>
                <c:pt idx="44">
                  <c:v>1.455158835042115E-4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F4D-4E51-B3F3-7220D9D80A0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137508271"/>
        <c:axId val="43807023"/>
      </c:lineChart>
      <c:dateAx>
        <c:axId val="2137508271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43807023"/>
        <c:crosses val="autoZero"/>
        <c:auto val="1"/>
        <c:lblOffset val="100"/>
        <c:baseTimeUnit val="days"/>
      </c:dateAx>
      <c:valAx>
        <c:axId val="4380702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2137508271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'Backtest Stratégie 1'!$K$5</c:f>
              <c:strCache>
                <c:ptCount val="1"/>
                <c:pt idx="0">
                  <c:v>Volatilité_Réalisée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'Backtest Stratégie 1'!$A$6:$A$50</c:f>
              <c:numCache>
                <c:formatCode>m/d/yyyy</c:formatCode>
                <c:ptCount val="45"/>
                <c:pt idx="0">
                  <c:v>39598</c:v>
                </c:pt>
                <c:pt idx="1">
                  <c:v>39601</c:v>
                </c:pt>
                <c:pt idx="2">
                  <c:v>39602</c:v>
                </c:pt>
                <c:pt idx="3">
                  <c:v>39603</c:v>
                </c:pt>
                <c:pt idx="4">
                  <c:v>39604</c:v>
                </c:pt>
                <c:pt idx="5">
                  <c:v>39605</c:v>
                </c:pt>
                <c:pt idx="6">
                  <c:v>39608</c:v>
                </c:pt>
                <c:pt idx="7">
                  <c:v>39609</c:v>
                </c:pt>
                <c:pt idx="8">
                  <c:v>39610</c:v>
                </c:pt>
                <c:pt idx="9">
                  <c:v>39611</c:v>
                </c:pt>
                <c:pt idx="10">
                  <c:v>39612</c:v>
                </c:pt>
                <c:pt idx="11">
                  <c:v>39615</c:v>
                </c:pt>
                <c:pt idx="12">
                  <c:v>39616</c:v>
                </c:pt>
                <c:pt idx="13">
                  <c:v>39617</c:v>
                </c:pt>
                <c:pt idx="14">
                  <c:v>39618</c:v>
                </c:pt>
                <c:pt idx="15">
                  <c:v>39619</c:v>
                </c:pt>
                <c:pt idx="16">
                  <c:v>39622</c:v>
                </c:pt>
                <c:pt idx="17">
                  <c:v>39623</c:v>
                </c:pt>
                <c:pt idx="18">
                  <c:v>39624</c:v>
                </c:pt>
                <c:pt idx="19">
                  <c:v>39625</c:v>
                </c:pt>
                <c:pt idx="20">
                  <c:v>39626</c:v>
                </c:pt>
                <c:pt idx="21">
                  <c:v>39629</c:v>
                </c:pt>
                <c:pt idx="22">
                  <c:v>39630</c:v>
                </c:pt>
                <c:pt idx="23">
                  <c:v>39631</c:v>
                </c:pt>
                <c:pt idx="24">
                  <c:v>39632</c:v>
                </c:pt>
                <c:pt idx="25">
                  <c:v>39633</c:v>
                </c:pt>
                <c:pt idx="26">
                  <c:v>39636</c:v>
                </c:pt>
                <c:pt idx="27">
                  <c:v>39637</c:v>
                </c:pt>
                <c:pt idx="28">
                  <c:v>39638</c:v>
                </c:pt>
                <c:pt idx="29">
                  <c:v>39639</c:v>
                </c:pt>
                <c:pt idx="30">
                  <c:v>39640</c:v>
                </c:pt>
                <c:pt idx="31">
                  <c:v>39643</c:v>
                </c:pt>
                <c:pt idx="32">
                  <c:v>39644</c:v>
                </c:pt>
                <c:pt idx="33">
                  <c:v>39645</c:v>
                </c:pt>
                <c:pt idx="34">
                  <c:v>39646</c:v>
                </c:pt>
                <c:pt idx="35">
                  <c:v>39647</c:v>
                </c:pt>
                <c:pt idx="36">
                  <c:v>39650</c:v>
                </c:pt>
                <c:pt idx="37">
                  <c:v>39651</c:v>
                </c:pt>
                <c:pt idx="38">
                  <c:v>39652</c:v>
                </c:pt>
                <c:pt idx="39">
                  <c:v>39653</c:v>
                </c:pt>
                <c:pt idx="40">
                  <c:v>39654</c:v>
                </c:pt>
                <c:pt idx="41">
                  <c:v>39657</c:v>
                </c:pt>
                <c:pt idx="42">
                  <c:v>39658</c:v>
                </c:pt>
                <c:pt idx="43">
                  <c:v>39659</c:v>
                </c:pt>
                <c:pt idx="44">
                  <c:v>39660</c:v>
                </c:pt>
              </c:numCache>
            </c:numRef>
          </c:cat>
          <c:val>
            <c:numRef>
              <c:f>'Backtest Stratégie 1'!$K$6:$K$50</c:f>
              <c:numCache>
                <c:formatCode>General</c:formatCode>
                <c:ptCount val="45"/>
                <c:pt idx="0">
                  <c:v>3.4453819665184686</c:v>
                </c:pt>
                <c:pt idx="2">
                  <c:v>2.8420914658706597</c:v>
                </c:pt>
                <c:pt idx="3">
                  <c:v>2.0037219959967425</c:v>
                </c:pt>
                <c:pt idx="4">
                  <c:v>1.9951248876192387</c:v>
                </c:pt>
                <c:pt idx="5">
                  <c:v>4.2889298959776596</c:v>
                </c:pt>
                <c:pt idx="6">
                  <c:v>4.2169571453705093</c:v>
                </c:pt>
                <c:pt idx="7">
                  <c:v>1.1254419421770803</c:v>
                </c:pt>
                <c:pt idx="8">
                  <c:v>3.4729263736730069</c:v>
                </c:pt>
                <c:pt idx="9">
                  <c:v>3.6892666276687955</c:v>
                </c:pt>
                <c:pt idx="10">
                  <c:v>1.9569020043074341</c:v>
                </c:pt>
                <c:pt idx="11">
                  <c:v>1.8057355232067656</c:v>
                </c:pt>
                <c:pt idx="12">
                  <c:v>1.8853582794457941</c:v>
                </c:pt>
                <c:pt idx="13">
                  <c:v>2.6605496383139435</c:v>
                </c:pt>
                <c:pt idx="14">
                  <c:v>2.6350694056880526</c:v>
                </c:pt>
                <c:pt idx="15">
                  <c:v>3.2836060241389653</c:v>
                </c:pt>
                <c:pt idx="16">
                  <c:v>3.1000399129138989</c:v>
                </c:pt>
                <c:pt idx="17">
                  <c:v>1.1905214940824909</c:v>
                </c:pt>
                <c:pt idx="18">
                  <c:v>3.1355312878465953</c:v>
                </c:pt>
                <c:pt idx="19">
                  <c:v>5.7030288561796407</c:v>
                </c:pt>
                <c:pt idx="20">
                  <c:v>5.1019045634653652</c:v>
                </c:pt>
                <c:pt idx="21">
                  <c:v>1.5383315269898314</c:v>
                </c:pt>
                <c:pt idx="22">
                  <c:v>3.2835813785692323</c:v>
                </c:pt>
                <c:pt idx="23">
                  <c:v>3.2235540763231532</c:v>
                </c:pt>
                <c:pt idx="24">
                  <c:v>2.2937915519830905</c:v>
                </c:pt>
                <c:pt idx="25">
                  <c:v>3.7730514294977096</c:v>
                </c:pt>
                <c:pt idx="26">
                  <c:v>4.3166998429069858</c:v>
                </c:pt>
                <c:pt idx="27">
                  <c:v>3.9355159239315207</c:v>
                </c:pt>
                <c:pt idx="28">
                  <c:v>3.8192285350873028</c:v>
                </c:pt>
                <c:pt idx="29">
                  <c:v>4.351518957029735</c:v>
                </c:pt>
                <c:pt idx="30">
                  <c:v>5.6747038315359246</c:v>
                </c:pt>
                <c:pt idx="31">
                  <c:v>4.7980253181301986</c:v>
                </c:pt>
                <c:pt idx="32">
                  <c:v>4.2457319594451901</c:v>
                </c:pt>
                <c:pt idx="33">
                  <c:v>4.4987821102070598</c:v>
                </c:pt>
                <c:pt idx="34">
                  <c:v>4.8560308874416149</c:v>
                </c:pt>
                <c:pt idx="35">
                  <c:v>5.73483327048453</c:v>
                </c:pt>
                <c:pt idx="36">
                  <c:v>3.6072560681561554</c:v>
                </c:pt>
                <c:pt idx="37">
                  <c:v>0.78041775187402462</c:v>
                </c:pt>
                <c:pt idx="38">
                  <c:v>3.2777853072204683</c:v>
                </c:pt>
                <c:pt idx="39">
                  <c:v>3.6882368929040856</c:v>
                </c:pt>
                <c:pt idx="40">
                  <c:v>1.7497759697202477</c:v>
                </c:pt>
                <c:pt idx="41">
                  <c:v>2.0253896713839348</c:v>
                </c:pt>
                <c:pt idx="42">
                  <c:v>2.1086599042160357</c:v>
                </c:pt>
                <c:pt idx="43">
                  <c:v>2.3437485946854442</c:v>
                </c:pt>
                <c:pt idx="44">
                  <c:v>2.2618505337028298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EA8-471E-A36D-77477440BD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38459551"/>
        <c:axId val="338460031"/>
      </c:lineChart>
      <c:dateAx>
        <c:axId val="338459551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338460031"/>
        <c:crosses val="autoZero"/>
        <c:auto val="1"/>
        <c:lblOffset val="100"/>
        <c:baseTimeUnit val="days"/>
      </c:dateAx>
      <c:valAx>
        <c:axId val="33846003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338459551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'Backtest Stratégie 1'!$V$5</c:f>
              <c:strCache>
                <c:ptCount val="1"/>
                <c:pt idx="0">
                  <c:v>Delta_P&amp;L_Cumulé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'Backtest Stratégie 1'!$A$6:$A$50</c:f>
              <c:numCache>
                <c:formatCode>m/d/yyyy</c:formatCode>
                <c:ptCount val="45"/>
                <c:pt idx="0">
                  <c:v>39598</c:v>
                </c:pt>
                <c:pt idx="1">
                  <c:v>39601</c:v>
                </c:pt>
                <c:pt idx="2">
                  <c:v>39602</c:v>
                </c:pt>
                <c:pt idx="3">
                  <c:v>39603</c:v>
                </c:pt>
                <c:pt idx="4">
                  <c:v>39604</c:v>
                </c:pt>
                <c:pt idx="5">
                  <c:v>39605</c:v>
                </c:pt>
                <c:pt idx="6">
                  <c:v>39608</c:v>
                </c:pt>
                <c:pt idx="7">
                  <c:v>39609</c:v>
                </c:pt>
                <c:pt idx="8">
                  <c:v>39610</c:v>
                </c:pt>
                <c:pt idx="9">
                  <c:v>39611</c:v>
                </c:pt>
                <c:pt idx="10">
                  <c:v>39612</c:v>
                </c:pt>
                <c:pt idx="11">
                  <c:v>39615</c:v>
                </c:pt>
                <c:pt idx="12">
                  <c:v>39616</c:v>
                </c:pt>
                <c:pt idx="13">
                  <c:v>39617</c:v>
                </c:pt>
                <c:pt idx="14">
                  <c:v>39618</c:v>
                </c:pt>
                <c:pt idx="15">
                  <c:v>39619</c:v>
                </c:pt>
                <c:pt idx="16">
                  <c:v>39622</c:v>
                </c:pt>
                <c:pt idx="17">
                  <c:v>39623</c:v>
                </c:pt>
                <c:pt idx="18">
                  <c:v>39624</c:v>
                </c:pt>
                <c:pt idx="19">
                  <c:v>39625</c:v>
                </c:pt>
                <c:pt idx="20">
                  <c:v>39626</c:v>
                </c:pt>
                <c:pt idx="21">
                  <c:v>39629</c:v>
                </c:pt>
                <c:pt idx="22">
                  <c:v>39630</c:v>
                </c:pt>
                <c:pt idx="23">
                  <c:v>39631</c:v>
                </c:pt>
                <c:pt idx="24">
                  <c:v>39632</c:v>
                </c:pt>
                <c:pt idx="25">
                  <c:v>39633</c:v>
                </c:pt>
                <c:pt idx="26">
                  <c:v>39636</c:v>
                </c:pt>
                <c:pt idx="27">
                  <c:v>39637</c:v>
                </c:pt>
                <c:pt idx="28">
                  <c:v>39638</c:v>
                </c:pt>
                <c:pt idx="29">
                  <c:v>39639</c:v>
                </c:pt>
                <c:pt idx="30">
                  <c:v>39640</c:v>
                </c:pt>
                <c:pt idx="31">
                  <c:v>39643</c:v>
                </c:pt>
                <c:pt idx="32">
                  <c:v>39644</c:v>
                </c:pt>
                <c:pt idx="33">
                  <c:v>39645</c:v>
                </c:pt>
                <c:pt idx="34">
                  <c:v>39646</c:v>
                </c:pt>
                <c:pt idx="35">
                  <c:v>39647</c:v>
                </c:pt>
                <c:pt idx="36">
                  <c:v>39650</c:v>
                </c:pt>
                <c:pt idx="37">
                  <c:v>39651</c:v>
                </c:pt>
                <c:pt idx="38">
                  <c:v>39652</c:v>
                </c:pt>
                <c:pt idx="39">
                  <c:v>39653</c:v>
                </c:pt>
                <c:pt idx="40">
                  <c:v>39654</c:v>
                </c:pt>
                <c:pt idx="41">
                  <c:v>39657</c:v>
                </c:pt>
                <c:pt idx="42">
                  <c:v>39658</c:v>
                </c:pt>
                <c:pt idx="43">
                  <c:v>39659</c:v>
                </c:pt>
                <c:pt idx="44">
                  <c:v>39660</c:v>
                </c:pt>
              </c:numCache>
            </c:numRef>
          </c:cat>
          <c:val>
            <c:numRef>
              <c:f>'Backtest Stratégie 1'!$V$6:$V$50</c:f>
              <c:numCache>
                <c:formatCode>General</c:formatCode>
                <c:ptCount val="45"/>
                <c:pt idx="1">
                  <c:v>-43.357407614080628</c:v>
                </c:pt>
                <c:pt idx="2">
                  <c:v>-30.932803030224736</c:v>
                </c:pt>
                <c:pt idx="3">
                  <c:v>-59.40461559875871</c:v>
                </c:pt>
                <c:pt idx="4">
                  <c:v>-71.277735478239308</c:v>
                </c:pt>
                <c:pt idx="5">
                  <c:v>-134.00970726081229</c:v>
                </c:pt>
                <c:pt idx="6">
                  <c:v>-133.56029799571294</c:v>
                </c:pt>
                <c:pt idx="7">
                  <c:v>-149.44253103166309</c:v>
                </c:pt>
                <c:pt idx="8">
                  <c:v>-194.77152413996791</c:v>
                </c:pt>
                <c:pt idx="9">
                  <c:v>-172.48678917581711</c:v>
                </c:pt>
                <c:pt idx="10">
                  <c:v>-158.75838621104793</c:v>
                </c:pt>
                <c:pt idx="11">
                  <c:v>-179.4048765049784</c:v>
                </c:pt>
                <c:pt idx="12">
                  <c:v>-163.89130377306049</c:v>
                </c:pt>
                <c:pt idx="13">
                  <c:v>-196.77832454844972</c:v>
                </c:pt>
                <c:pt idx="14">
                  <c:v>-211.06431980883755</c:v>
                </c:pt>
                <c:pt idx="15">
                  <c:v>-251.02612021680426</c:v>
                </c:pt>
                <c:pt idx="16">
                  <c:v>-250.54556737494676</c:v>
                </c:pt>
                <c:pt idx="17">
                  <c:v>-265.16318479733741</c:v>
                </c:pt>
                <c:pt idx="18">
                  <c:v>-229.87005659018817</c:v>
                </c:pt>
                <c:pt idx="19">
                  <c:v>-291.42611256753321</c:v>
                </c:pt>
                <c:pt idx="20">
                  <c:v>-307.48310974727076</c:v>
                </c:pt>
                <c:pt idx="21">
                  <c:v>-299.9055067433481</c:v>
                </c:pt>
                <c:pt idx="22">
                  <c:v>-336.42097651239339</c:v>
                </c:pt>
                <c:pt idx="23">
                  <c:v>-338.95240670983708</c:v>
                </c:pt>
                <c:pt idx="24">
                  <c:v>-314.32410696914428</c:v>
                </c:pt>
                <c:pt idx="25">
                  <c:v>-347.72066053718368</c:v>
                </c:pt>
                <c:pt idx="26">
                  <c:v>-314.68320791899896</c:v>
                </c:pt>
                <c:pt idx="27">
                  <c:v>-341.67259938819655</c:v>
                </c:pt>
                <c:pt idx="28">
                  <c:v>-309.88337914150264</c:v>
                </c:pt>
                <c:pt idx="29">
                  <c:v>-345.7317363896168</c:v>
                </c:pt>
                <c:pt idx="30">
                  <c:v>-394.92572339270379</c:v>
                </c:pt>
                <c:pt idx="31">
                  <c:v>-384.94224756040501</c:v>
                </c:pt>
                <c:pt idx="32">
                  <c:v>-425.15529396243664</c:v>
                </c:pt>
                <c:pt idx="33">
                  <c:v>-408.66932275741271</c:v>
                </c:pt>
                <c:pt idx="34">
                  <c:v>-365.69294064611296</c:v>
                </c:pt>
                <c:pt idx="35">
                  <c:v>-328.88505589070843</c:v>
                </c:pt>
                <c:pt idx="36">
                  <c:v>-321.55956033642428</c:v>
                </c:pt>
                <c:pt idx="37">
                  <c:v>-326.14105610290579</c:v>
                </c:pt>
                <c:pt idx="38">
                  <c:v>-289.82249570199787</c:v>
                </c:pt>
                <c:pt idx="39">
                  <c:v>-310.24526066957958</c:v>
                </c:pt>
                <c:pt idx="40">
                  <c:v>-312.33256264723678</c:v>
                </c:pt>
                <c:pt idx="41">
                  <c:v>-335.07728559846799</c:v>
                </c:pt>
                <c:pt idx="42">
                  <c:v>-328.37390589573897</c:v>
                </c:pt>
                <c:pt idx="43">
                  <c:v>-303.31046089666802</c:v>
                </c:pt>
                <c:pt idx="44">
                  <c:v>-303.01202876058665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74A-41E1-AFB6-0E2230CBFD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38469151"/>
        <c:axId val="338467711"/>
      </c:lineChart>
      <c:dateAx>
        <c:axId val="338469151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338467711"/>
        <c:crosses val="autoZero"/>
        <c:auto val="1"/>
        <c:lblOffset val="100"/>
        <c:baseTimeUnit val="days"/>
      </c:dateAx>
      <c:valAx>
        <c:axId val="33846771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338469151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'Backtest Stratégie 1'!$X$5</c:f>
              <c:strCache>
                <c:ptCount val="1"/>
                <c:pt idx="0">
                  <c:v>Gamma+Theta P&amp;L_Cumulé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'Backtest Stratégie 1'!$A$6:$A$50</c:f>
              <c:numCache>
                <c:formatCode>m/d/yyyy</c:formatCode>
                <c:ptCount val="45"/>
                <c:pt idx="0">
                  <c:v>39598</c:v>
                </c:pt>
                <c:pt idx="1">
                  <c:v>39601</c:v>
                </c:pt>
                <c:pt idx="2">
                  <c:v>39602</c:v>
                </c:pt>
                <c:pt idx="3">
                  <c:v>39603</c:v>
                </c:pt>
                <c:pt idx="4">
                  <c:v>39604</c:v>
                </c:pt>
                <c:pt idx="5">
                  <c:v>39605</c:v>
                </c:pt>
                <c:pt idx="6">
                  <c:v>39608</c:v>
                </c:pt>
                <c:pt idx="7">
                  <c:v>39609</c:v>
                </c:pt>
                <c:pt idx="8">
                  <c:v>39610</c:v>
                </c:pt>
                <c:pt idx="9">
                  <c:v>39611</c:v>
                </c:pt>
                <c:pt idx="10">
                  <c:v>39612</c:v>
                </c:pt>
                <c:pt idx="11">
                  <c:v>39615</c:v>
                </c:pt>
                <c:pt idx="12">
                  <c:v>39616</c:v>
                </c:pt>
                <c:pt idx="13">
                  <c:v>39617</c:v>
                </c:pt>
                <c:pt idx="14">
                  <c:v>39618</c:v>
                </c:pt>
                <c:pt idx="15">
                  <c:v>39619</c:v>
                </c:pt>
                <c:pt idx="16">
                  <c:v>39622</c:v>
                </c:pt>
                <c:pt idx="17">
                  <c:v>39623</c:v>
                </c:pt>
                <c:pt idx="18">
                  <c:v>39624</c:v>
                </c:pt>
                <c:pt idx="19">
                  <c:v>39625</c:v>
                </c:pt>
                <c:pt idx="20">
                  <c:v>39626</c:v>
                </c:pt>
                <c:pt idx="21">
                  <c:v>39629</c:v>
                </c:pt>
                <c:pt idx="22">
                  <c:v>39630</c:v>
                </c:pt>
                <c:pt idx="23">
                  <c:v>39631</c:v>
                </c:pt>
                <c:pt idx="24">
                  <c:v>39632</c:v>
                </c:pt>
                <c:pt idx="25">
                  <c:v>39633</c:v>
                </c:pt>
                <c:pt idx="26">
                  <c:v>39636</c:v>
                </c:pt>
                <c:pt idx="27">
                  <c:v>39637</c:v>
                </c:pt>
                <c:pt idx="28">
                  <c:v>39638</c:v>
                </c:pt>
                <c:pt idx="29">
                  <c:v>39639</c:v>
                </c:pt>
                <c:pt idx="30">
                  <c:v>39640</c:v>
                </c:pt>
                <c:pt idx="31">
                  <c:v>39643</c:v>
                </c:pt>
                <c:pt idx="32">
                  <c:v>39644</c:v>
                </c:pt>
                <c:pt idx="33">
                  <c:v>39645</c:v>
                </c:pt>
                <c:pt idx="34">
                  <c:v>39646</c:v>
                </c:pt>
                <c:pt idx="35">
                  <c:v>39647</c:v>
                </c:pt>
                <c:pt idx="36">
                  <c:v>39650</c:v>
                </c:pt>
                <c:pt idx="37">
                  <c:v>39651</c:v>
                </c:pt>
                <c:pt idx="38">
                  <c:v>39652</c:v>
                </c:pt>
                <c:pt idx="39">
                  <c:v>39653</c:v>
                </c:pt>
                <c:pt idx="40">
                  <c:v>39654</c:v>
                </c:pt>
                <c:pt idx="41">
                  <c:v>39657</c:v>
                </c:pt>
                <c:pt idx="42">
                  <c:v>39658</c:v>
                </c:pt>
                <c:pt idx="43">
                  <c:v>39659</c:v>
                </c:pt>
                <c:pt idx="44">
                  <c:v>39660</c:v>
                </c:pt>
              </c:numCache>
            </c:numRef>
          </c:cat>
          <c:val>
            <c:numRef>
              <c:f>'Backtest Stratégie 1'!$X$6:$X$50</c:f>
              <c:numCache>
                <c:formatCode>General</c:formatCode>
                <c:ptCount val="45"/>
                <c:pt idx="1">
                  <c:v>-0.40562886493972239</c:v>
                </c:pt>
                <c:pt idx="2">
                  <c:v>-0.6627548087764098</c:v>
                </c:pt>
                <c:pt idx="3">
                  <c:v>-0.74220094296904504</c:v>
                </c:pt>
                <c:pt idx="4">
                  <c:v>-0.99955545121873779</c:v>
                </c:pt>
                <c:pt idx="5">
                  <c:v>-0.12650120169950874</c:v>
                </c:pt>
                <c:pt idx="6">
                  <c:v>-0.99006949748718354</c:v>
                </c:pt>
                <c:pt idx="7">
                  <c:v>-1.2001377615370159</c:v>
                </c:pt>
                <c:pt idx="8">
                  <c:v>-0.77884726149107841</c:v>
                </c:pt>
                <c:pt idx="9">
                  <c:v>-0.87414185485069062</c:v>
                </c:pt>
                <c:pt idx="10">
                  <c:v>-1.0903799842860384</c:v>
                </c:pt>
                <c:pt idx="11">
                  <c:v>-1.7792113962089444</c:v>
                </c:pt>
                <c:pt idx="12">
                  <c:v>-1.961110761687783</c:v>
                </c:pt>
                <c:pt idx="13">
                  <c:v>-1.828011871244589</c:v>
                </c:pt>
                <c:pt idx="14">
                  <c:v>-2.0237741181116529</c:v>
                </c:pt>
                <c:pt idx="15">
                  <c:v>-1.6155683467437072</c:v>
                </c:pt>
                <c:pt idx="16">
                  <c:v>-2.4334355463522952</c:v>
                </c:pt>
                <c:pt idx="17">
                  <c:v>-2.6004380994984406</c:v>
                </c:pt>
                <c:pt idx="18">
                  <c:v>-2.2472946366595856</c:v>
                </c:pt>
                <c:pt idx="19">
                  <c:v>-0.76833770972971682</c:v>
                </c:pt>
                <c:pt idx="20">
                  <c:v>-0.88841055512998357</c:v>
                </c:pt>
                <c:pt idx="21">
                  <c:v>-1.6170278261696005</c:v>
                </c:pt>
                <c:pt idx="22">
                  <c:v>-1.092043923351786</c:v>
                </c:pt>
                <c:pt idx="23">
                  <c:v>-1.3270126352987297</c:v>
                </c:pt>
                <c:pt idx="24">
                  <c:v>-1.1697890622098921</c:v>
                </c:pt>
                <c:pt idx="25">
                  <c:v>-0.7436820099182081</c:v>
                </c:pt>
                <c:pt idx="26">
                  <c:v>-0.75843837002355785</c:v>
                </c:pt>
                <c:pt idx="27">
                  <c:v>-0.5749947817556833</c:v>
                </c:pt>
                <c:pt idx="28">
                  <c:v>-0.17166076039022027</c:v>
                </c:pt>
                <c:pt idx="29">
                  <c:v>0.33895580578686912</c:v>
                </c:pt>
                <c:pt idx="30">
                  <c:v>1.6531527803949957</c:v>
                </c:pt>
                <c:pt idx="31">
                  <c:v>0.98581763511789211</c:v>
                </c:pt>
                <c:pt idx="32">
                  <c:v>1.9450742851890297</c:v>
                </c:pt>
                <c:pt idx="33">
                  <c:v>1.9449822950404967</c:v>
                </c:pt>
                <c:pt idx="34">
                  <c:v>3.1933644992679646</c:v>
                </c:pt>
                <c:pt idx="35">
                  <c:v>3.9177246094074096</c:v>
                </c:pt>
                <c:pt idx="36">
                  <c:v>3.1748955360742919</c:v>
                </c:pt>
                <c:pt idx="37">
                  <c:v>2.927924744682366</c:v>
                </c:pt>
                <c:pt idx="38">
                  <c:v>3.5251024795535288</c:v>
                </c:pt>
                <c:pt idx="39">
                  <c:v>3.5012491779474049</c:v>
                </c:pt>
                <c:pt idx="40">
                  <c:v>3.232708116146028</c:v>
                </c:pt>
                <c:pt idx="41">
                  <c:v>2.7458129298598908</c:v>
                </c:pt>
                <c:pt idx="42">
                  <c:v>2.5086757687671528</c:v>
                </c:pt>
                <c:pt idx="43">
                  <c:v>2.6530348983022622</c:v>
                </c:pt>
                <c:pt idx="44">
                  <c:v>2.3844210798548087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E17-4095-975C-9D162D1E87F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38474431"/>
        <c:axId val="338472031"/>
      </c:lineChart>
      <c:dateAx>
        <c:axId val="338474431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338472031"/>
        <c:crosses val="autoZero"/>
        <c:auto val="1"/>
        <c:lblOffset val="100"/>
        <c:baseTimeUnit val="days"/>
      </c:dateAx>
      <c:valAx>
        <c:axId val="33847203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338474431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'Backtest Stratégie 1'!$Z$5</c:f>
              <c:strCache>
                <c:ptCount val="1"/>
                <c:pt idx="0">
                  <c:v>Vega_P&amp;L_Cumulé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'Backtest Stratégie 1'!$A$6:$A$50</c:f>
              <c:numCache>
                <c:formatCode>m/d/yyyy</c:formatCode>
                <c:ptCount val="45"/>
                <c:pt idx="0">
                  <c:v>39598</c:v>
                </c:pt>
                <c:pt idx="1">
                  <c:v>39601</c:v>
                </c:pt>
                <c:pt idx="2">
                  <c:v>39602</c:v>
                </c:pt>
                <c:pt idx="3">
                  <c:v>39603</c:v>
                </c:pt>
                <c:pt idx="4">
                  <c:v>39604</c:v>
                </c:pt>
                <c:pt idx="5">
                  <c:v>39605</c:v>
                </c:pt>
                <c:pt idx="6">
                  <c:v>39608</c:v>
                </c:pt>
                <c:pt idx="7">
                  <c:v>39609</c:v>
                </c:pt>
                <c:pt idx="8">
                  <c:v>39610</c:v>
                </c:pt>
                <c:pt idx="9">
                  <c:v>39611</c:v>
                </c:pt>
                <c:pt idx="10">
                  <c:v>39612</c:v>
                </c:pt>
                <c:pt idx="11">
                  <c:v>39615</c:v>
                </c:pt>
                <c:pt idx="12">
                  <c:v>39616</c:v>
                </c:pt>
                <c:pt idx="13">
                  <c:v>39617</c:v>
                </c:pt>
                <c:pt idx="14">
                  <c:v>39618</c:v>
                </c:pt>
                <c:pt idx="15">
                  <c:v>39619</c:v>
                </c:pt>
                <c:pt idx="16">
                  <c:v>39622</c:v>
                </c:pt>
                <c:pt idx="17">
                  <c:v>39623</c:v>
                </c:pt>
                <c:pt idx="18">
                  <c:v>39624</c:v>
                </c:pt>
                <c:pt idx="19">
                  <c:v>39625</c:v>
                </c:pt>
                <c:pt idx="20">
                  <c:v>39626</c:v>
                </c:pt>
                <c:pt idx="21">
                  <c:v>39629</c:v>
                </c:pt>
                <c:pt idx="22">
                  <c:v>39630</c:v>
                </c:pt>
                <c:pt idx="23">
                  <c:v>39631</c:v>
                </c:pt>
                <c:pt idx="24">
                  <c:v>39632</c:v>
                </c:pt>
                <c:pt idx="25">
                  <c:v>39633</c:v>
                </c:pt>
                <c:pt idx="26">
                  <c:v>39636</c:v>
                </c:pt>
                <c:pt idx="27">
                  <c:v>39637</c:v>
                </c:pt>
                <c:pt idx="28">
                  <c:v>39638</c:v>
                </c:pt>
                <c:pt idx="29">
                  <c:v>39639</c:v>
                </c:pt>
                <c:pt idx="30">
                  <c:v>39640</c:v>
                </c:pt>
                <c:pt idx="31">
                  <c:v>39643</c:v>
                </c:pt>
                <c:pt idx="32">
                  <c:v>39644</c:v>
                </c:pt>
                <c:pt idx="33">
                  <c:v>39645</c:v>
                </c:pt>
                <c:pt idx="34">
                  <c:v>39646</c:v>
                </c:pt>
                <c:pt idx="35">
                  <c:v>39647</c:v>
                </c:pt>
                <c:pt idx="36">
                  <c:v>39650</c:v>
                </c:pt>
                <c:pt idx="37">
                  <c:v>39651</c:v>
                </c:pt>
                <c:pt idx="38">
                  <c:v>39652</c:v>
                </c:pt>
                <c:pt idx="39">
                  <c:v>39653</c:v>
                </c:pt>
                <c:pt idx="40">
                  <c:v>39654</c:v>
                </c:pt>
                <c:pt idx="41">
                  <c:v>39657</c:v>
                </c:pt>
                <c:pt idx="42">
                  <c:v>39658</c:v>
                </c:pt>
                <c:pt idx="43">
                  <c:v>39659</c:v>
                </c:pt>
                <c:pt idx="44">
                  <c:v>39660</c:v>
                </c:pt>
              </c:numCache>
            </c:numRef>
          </c:cat>
          <c:val>
            <c:numRef>
              <c:f>'Backtest Stratégie 1'!$Z$6:$Z$50</c:f>
              <c:numCache>
                <c:formatCode>General</c:formatCode>
                <c:ptCount val="45"/>
                <c:pt idx="1">
                  <c:v>4.1358855282056872</c:v>
                </c:pt>
                <c:pt idx="2">
                  <c:v>1.6420615992014085</c:v>
                </c:pt>
                <c:pt idx="3">
                  <c:v>2.1694399600170096</c:v>
                </c:pt>
                <c:pt idx="4">
                  <c:v>-1.6849829829172465</c:v>
                </c:pt>
                <c:pt idx="5">
                  <c:v>5.4284050702673028</c:v>
                </c:pt>
                <c:pt idx="6">
                  <c:v>9.1456246199140701</c:v>
                </c:pt>
                <c:pt idx="7">
                  <c:v>8.7386370756322016</c:v>
                </c:pt>
                <c:pt idx="8">
                  <c:v>9.592715522352286</c:v>
                </c:pt>
                <c:pt idx="9">
                  <c:v>4.3828790953065075</c:v>
                </c:pt>
                <c:pt idx="10">
                  <c:v>-1.391558022507426</c:v>
                </c:pt>
                <c:pt idx="11">
                  <c:v>-5.7357304940746099</c:v>
                </c:pt>
                <c:pt idx="12">
                  <c:v>-9.3647215754249693</c:v>
                </c:pt>
                <c:pt idx="13">
                  <c:v>-2.5906773222147121</c:v>
                </c:pt>
                <c:pt idx="14">
                  <c:v>-6.3221937168665745</c:v>
                </c:pt>
                <c:pt idx="15">
                  <c:v>0.32636352426375037</c:v>
                </c:pt>
                <c:pt idx="16">
                  <c:v>-4.6510918432494739</c:v>
                </c:pt>
                <c:pt idx="17">
                  <c:v>-3.135663908986273</c:v>
                </c:pt>
                <c:pt idx="18">
                  <c:v>-13.212669344453325</c:v>
                </c:pt>
                <c:pt idx="19">
                  <c:v>-5.5460063784504818</c:v>
                </c:pt>
                <c:pt idx="20">
                  <c:v>-7.5699359914628834</c:v>
                </c:pt>
                <c:pt idx="21">
                  <c:v>-15.874865371172895</c:v>
                </c:pt>
                <c:pt idx="22">
                  <c:v>-11.687096323009984</c:v>
                </c:pt>
                <c:pt idx="23">
                  <c:v>-11.277150231548141</c:v>
                </c:pt>
                <c:pt idx="24">
                  <c:v>-13.032485422605824</c:v>
                </c:pt>
                <c:pt idx="25">
                  <c:v>-5.1584005446634391</c:v>
                </c:pt>
                <c:pt idx="26">
                  <c:v>-10.002829907838141</c:v>
                </c:pt>
                <c:pt idx="27">
                  <c:v>-3.9760562141169604</c:v>
                </c:pt>
                <c:pt idx="28">
                  <c:v>-11.898022118737755</c:v>
                </c:pt>
                <c:pt idx="29">
                  <c:v>0.50486855293812383</c:v>
                </c:pt>
                <c:pt idx="30">
                  <c:v>8.6900693270411242</c:v>
                </c:pt>
                <c:pt idx="31">
                  <c:v>3.3836615503118166</c:v>
                </c:pt>
                <c:pt idx="32">
                  <c:v>8.911849330305408</c:v>
                </c:pt>
                <c:pt idx="33">
                  <c:v>7.4906559676636917</c:v>
                </c:pt>
                <c:pt idx="34">
                  <c:v>-6.6378287486528951</c:v>
                </c:pt>
                <c:pt idx="35">
                  <c:v>-11.711922474631509</c:v>
                </c:pt>
                <c:pt idx="36">
                  <c:v>-13.531099313755012</c:v>
                </c:pt>
                <c:pt idx="37">
                  <c:v>-16.41352079451039</c:v>
                </c:pt>
                <c:pt idx="38">
                  <c:v>-19.856852453190864</c:v>
                </c:pt>
                <c:pt idx="39">
                  <c:v>-10.672934042781797</c:v>
                </c:pt>
                <c:pt idx="40">
                  <c:v>-13.591600829978134</c:v>
                </c:pt>
                <c:pt idx="41">
                  <c:v>-9.7560317742385934</c:v>
                </c:pt>
                <c:pt idx="42">
                  <c:v>-13.004678487752013</c:v>
                </c:pt>
                <c:pt idx="43">
                  <c:v>-18.991699120746837</c:v>
                </c:pt>
                <c:pt idx="44">
                  <c:v>-14.16676824697106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B0D-4856-8342-15A187FD93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38477311"/>
        <c:axId val="338478271"/>
      </c:lineChart>
      <c:dateAx>
        <c:axId val="338477311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338478271"/>
        <c:crosses val="autoZero"/>
        <c:auto val="1"/>
        <c:lblOffset val="100"/>
        <c:baseTimeUnit val="days"/>
      </c:dateAx>
      <c:valAx>
        <c:axId val="33847827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338477311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'Backtest Stratégie 1'!$T$5</c:f>
              <c:strCache>
                <c:ptCount val="1"/>
                <c:pt idx="0">
                  <c:v>P&amp;L_Total_Cumulé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'Backtest Stratégie 1'!$A$6:$A$50</c:f>
              <c:numCache>
                <c:formatCode>m/d/yyyy</c:formatCode>
                <c:ptCount val="45"/>
                <c:pt idx="0">
                  <c:v>39598</c:v>
                </c:pt>
                <c:pt idx="1">
                  <c:v>39601</c:v>
                </c:pt>
                <c:pt idx="2">
                  <c:v>39602</c:v>
                </c:pt>
                <c:pt idx="3">
                  <c:v>39603</c:v>
                </c:pt>
                <c:pt idx="4">
                  <c:v>39604</c:v>
                </c:pt>
                <c:pt idx="5">
                  <c:v>39605</c:v>
                </c:pt>
                <c:pt idx="6">
                  <c:v>39608</c:v>
                </c:pt>
                <c:pt idx="7">
                  <c:v>39609</c:v>
                </c:pt>
                <c:pt idx="8">
                  <c:v>39610</c:v>
                </c:pt>
                <c:pt idx="9">
                  <c:v>39611</c:v>
                </c:pt>
                <c:pt idx="10">
                  <c:v>39612</c:v>
                </c:pt>
                <c:pt idx="11">
                  <c:v>39615</c:v>
                </c:pt>
                <c:pt idx="12">
                  <c:v>39616</c:v>
                </c:pt>
                <c:pt idx="13">
                  <c:v>39617</c:v>
                </c:pt>
                <c:pt idx="14">
                  <c:v>39618</c:v>
                </c:pt>
                <c:pt idx="15">
                  <c:v>39619</c:v>
                </c:pt>
                <c:pt idx="16">
                  <c:v>39622</c:v>
                </c:pt>
                <c:pt idx="17">
                  <c:v>39623</c:v>
                </c:pt>
                <c:pt idx="18">
                  <c:v>39624</c:v>
                </c:pt>
                <c:pt idx="19">
                  <c:v>39625</c:v>
                </c:pt>
                <c:pt idx="20">
                  <c:v>39626</c:v>
                </c:pt>
                <c:pt idx="21">
                  <c:v>39629</c:v>
                </c:pt>
                <c:pt idx="22">
                  <c:v>39630</c:v>
                </c:pt>
                <c:pt idx="23">
                  <c:v>39631</c:v>
                </c:pt>
                <c:pt idx="24">
                  <c:v>39632</c:v>
                </c:pt>
                <c:pt idx="25">
                  <c:v>39633</c:v>
                </c:pt>
                <c:pt idx="26">
                  <c:v>39636</c:v>
                </c:pt>
                <c:pt idx="27">
                  <c:v>39637</c:v>
                </c:pt>
                <c:pt idx="28">
                  <c:v>39638</c:v>
                </c:pt>
                <c:pt idx="29">
                  <c:v>39639</c:v>
                </c:pt>
                <c:pt idx="30">
                  <c:v>39640</c:v>
                </c:pt>
                <c:pt idx="31">
                  <c:v>39643</c:v>
                </c:pt>
                <c:pt idx="32">
                  <c:v>39644</c:v>
                </c:pt>
                <c:pt idx="33">
                  <c:v>39645</c:v>
                </c:pt>
                <c:pt idx="34">
                  <c:v>39646</c:v>
                </c:pt>
                <c:pt idx="35">
                  <c:v>39647</c:v>
                </c:pt>
                <c:pt idx="36">
                  <c:v>39650</c:v>
                </c:pt>
                <c:pt idx="37">
                  <c:v>39651</c:v>
                </c:pt>
                <c:pt idx="38">
                  <c:v>39652</c:v>
                </c:pt>
                <c:pt idx="39">
                  <c:v>39653</c:v>
                </c:pt>
                <c:pt idx="40">
                  <c:v>39654</c:v>
                </c:pt>
                <c:pt idx="41">
                  <c:v>39657</c:v>
                </c:pt>
                <c:pt idx="42">
                  <c:v>39658</c:v>
                </c:pt>
                <c:pt idx="43">
                  <c:v>39659</c:v>
                </c:pt>
                <c:pt idx="44">
                  <c:v>39660</c:v>
                </c:pt>
              </c:numCache>
            </c:numRef>
          </c:cat>
          <c:val>
            <c:numRef>
              <c:f>'Backtest Stratégie 1'!$T$6:$T$50</c:f>
              <c:numCache>
                <c:formatCode>_-* #\ ##0.00\ _€_-;\-* #\ ##0.00\ _€_-;_-* "-"??\ _€_-;_-@_-</c:formatCode>
                <c:ptCount val="45"/>
                <c:pt idx="1">
                  <c:v>-39.549999999999898</c:v>
                </c:pt>
                <c:pt idx="2">
                  <c:v>-29.809999999999775</c:v>
                </c:pt>
                <c:pt idx="3">
                  <c:v>-57.999999999999716</c:v>
                </c:pt>
                <c:pt idx="4">
                  <c:v>-74.21999999999997</c:v>
                </c:pt>
                <c:pt idx="5">
                  <c:v>-132.75000000000009</c:v>
                </c:pt>
                <c:pt idx="6">
                  <c:v>-129.60999999999976</c:v>
                </c:pt>
                <c:pt idx="7">
                  <c:v>-146.15000000000009</c:v>
                </c:pt>
                <c:pt idx="8">
                  <c:v>-189.96000000000004</c:v>
                </c:pt>
                <c:pt idx="9">
                  <c:v>-173.05999999999977</c:v>
                </c:pt>
                <c:pt idx="10">
                  <c:v>-165.47999999999985</c:v>
                </c:pt>
                <c:pt idx="11">
                  <c:v>-191.11999999999998</c:v>
                </c:pt>
                <c:pt idx="12">
                  <c:v>-179.36999999999998</c:v>
                </c:pt>
                <c:pt idx="13">
                  <c:v>-205.18000000000012</c:v>
                </c:pt>
                <c:pt idx="14">
                  <c:v>-223.43999999999988</c:v>
                </c:pt>
                <c:pt idx="15">
                  <c:v>-256.27</c:v>
                </c:pt>
                <c:pt idx="16">
                  <c:v>-261.41999999999996</c:v>
                </c:pt>
                <c:pt idx="17">
                  <c:v>-274.7299999999999</c:v>
                </c:pt>
                <c:pt idx="18">
                  <c:v>-249.04999999999981</c:v>
                </c:pt>
                <c:pt idx="19">
                  <c:v>-301.2</c:v>
                </c:pt>
                <c:pt idx="20">
                  <c:v>-318.9799999999999</c:v>
                </c:pt>
                <c:pt idx="21">
                  <c:v>-320.53999999999996</c:v>
                </c:pt>
                <c:pt idx="22">
                  <c:v>-352.78999999999979</c:v>
                </c:pt>
                <c:pt idx="23">
                  <c:v>-355.12999999999994</c:v>
                </c:pt>
                <c:pt idx="24">
                  <c:v>-332.3499999999998</c:v>
                </c:pt>
                <c:pt idx="25">
                  <c:v>-356.85000000000008</c:v>
                </c:pt>
                <c:pt idx="26">
                  <c:v>-328.69000000000005</c:v>
                </c:pt>
                <c:pt idx="27">
                  <c:v>-349.25</c:v>
                </c:pt>
                <c:pt idx="28">
                  <c:v>-325.26999999999987</c:v>
                </c:pt>
                <c:pt idx="29">
                  <c:v>-348.03999999999968</c:v>
                </c:pt>
                <c:pt idx="30">
                  <c:v>-387.86999999999972</c:v>
                </c:pt>
                <c:pt idx="31">
                  <c:v>-383.81000000000012</c:v>
                </c:pt>
                <c:pt idx="32">
                  <c:v>-417.4199999999999</c:v>
                </c:pt>
                <c:pt idx="33">
                  <c:v>-402.28999999999968</c:v>
                </c:pt>
                <c:pt idx="34">
                  <c:v>-372.55999999999977</c:v>
                </c:pt>
                <c:pt idx="35">
                  <c:v>-340.11999999999972</c:v>
                </c:pt>
                <c:pt idx="36">
                  <c:v>-335.92999999999984</c:v>
                </c:pt>
                <c:pt idx="37">
                  <c:v>-343.71000000000015</c:v>
                </c:pt>
                <c:pt idx="38">
                  <c:v>-310.44999999999993</c:v>
                </c:pt>
                <c:pt idx="39">
                  <c:v>-321.37</c:v>
                </c:pt>
                <c:pt idx="40">
                  <c:v>-326.31999999999982</c:v>
                </c:pt>
                <c:pt idx="41">
                  <c:v>-345.74000000000007</c:v>
                </c:pt>
                <c:pt idx="42">
                  <c:v>-342.38999999999976</c:v>
                </c:pt>
                <c:pt idx="43">
                  <c:v>-323.02</c:v>
                </c:pt>
                <c:pt idx="44">
                  <c:v>-318.12999999999977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3CC-47D2-866A-3D2EE3DD0F4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29978751"/>
        <c:axId val="1968634063"/>
      </c:lineChart>
      <c:dateAx>
        <c:axId val="329978751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968634063"/>
        <c:crosses val="autoZero"/>
        <c:auto val="1"/>
        <c:lblOffset val="100"/>
        <c:baseTimeUnit val="days"/>
      </c:dateAx>
      <c:valAx>
        <c:axId val="196863406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329978751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'Backtest Stratégie 1'!$AB$5</c:f>
              <c:strCache>
                <c:ptCount val="1"/>
                <c:pt idx="0">
                  <c:v>P&amp;L_Taylor_Cumulé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'Backtest Stratégie 1'!$A$6:$A$50</c:f>
              <c:numCache>
                <c:formatCode>m/d/yyyy</c:formatCode>
                <c:ptCount val="45"/>
                <c:pt idx="0">
                  <c:v>39598</c:v>
                </c:pt>
                <c:pt idx="1">
                  <c:v>39601</c:v>
                </c:pt>
                <c:pt idx="2">
                  <c:v>39602</c:v>
                </c:pt>
                <c:pt idx="3">
                  <c:v>39603</c:v>
                </c:pt>
                <c:pt idx="4">
                  <c:v>39604</c:v>
                </c:pt>
                <c:pt idx="5">
                  <c:v>39605</c:v>
                </c:pt>
                <c:pt idx="6">
                  <c:v>39608</c:v>
                </c:pt>
                <c:pt idx="7">
                  <c:v>39609</c:v>
                </c:pt>
                <c:pt idx="8">
                  <c:v>39610</c:v>
                </c:pt>
                <c:pt idx="9">
                  <c:v>39611</c:v>
                </c:pt>
                <c:pt idx="10">
                  <c:v>39612</c:v>
                </c:pt>
                <c:pt idx="11">
                  <c:v>39615</c:v>
                </c:pt>
                <c:pt idx="12">
                  <c:v>39616</c:v>
                </c:pt>
                <c:pt idx="13">
                  <c:v>39617</c:v>
                </c:pt>
                <c:pt idx="14">
                  <c:v>39618</c:v>
                </c:pt>
                <c:pt idx="15">
                  <c:v>39619</c:v>
                </c:pt>
                <c:pt idx="16">
                  <c:v>39622</c:v>
                </c:pt>
                <c:pt idx="17">
                  <c:v>39623</c:v>
                </c:pt>
                <c:pt idx="18">
                  <c:v>39624</c:v>
                </c:pt>
                <c:pt idx="19">
                  <c:v>39625</c:v>
                </c:pt>
                <c:pt idx="20">
                  <c:v>39626</c:v>
                </c:pt>
                <c:pt idx="21">
                  <c:v>39629</c:v>
                </c:pt>
                <c:pt idx="22">
                  <c:v>39630</c:v>
                </c:pt>
                <c:pt idx="23">
                  <c:v>39631</c:v>
                </c:pt>
                <c:pt idx="24">
                  <c:v>39632</c:v>
                </c:pt>
                <c:pt idx="25">
                  <c:v>39633</c:v>
                </c:pt>
                <c:pt idx="26">
                  <c:v>39636</c:v>
                </c:pt>
                <c:pt idx="27">
                  <c:v>39637</c:v>
                </c:pt>
                <c:pt idx="28">
                  <c:v>39638</c:v>
                </c:pt>
                <c:pt idx="29">
                  <c:v>39639</c:v>
                </c:pt>
                <c:pt idx="30">
                  <c:v>39640</c:v>
                </c:pt>
                <c:pt idx="31">
                  <c:v>39643</c:v>
                </c:pt>
                <c:pt idx="32">
                  <c:v>39644</c:v>
                </c:pt>
                <c:pt idx="33">
                  <c:v>39645</c:v>
                </c:pt>
                <c:pt idx="34">
                  <c:v>39646</c:v>
                </c:pt>
                <c:pt idx="35">
                  <c:v>39647</c:v>
                </c:pt>
                <c:pt idx="36">
                  <c:v>39650</c:v>
                </c:pt>
                <c:pt idx="37">
                  <c:v>39651</c:v>
                </c:pt>
                <c:pt idx="38">
                  <c:v>39652</c:v>
                </c:pt>
                <c:pt idx="39">
                  <c:v>39653</c:v>
                </c:pt>
                <c:pt idx="40">
                  <c:v>39654</c:v>
                </c:pt>
                <c:pt idx="41">
                  <c:v>39657</c:v>
                </c:pt>
                <c:pt idx="42">
                  <c:v>39658</c:v>
                </c:pt>
                <c:pt idx="43">
                  <c:v>39659</c:v>
                </c:pt>
                <c:pt idx="44">
                  <c:v>39660</c:v>
                </c:pt>
              </c:numCache>
            </c:numRef>
          </c:cat>
          <c:val>
            <c:numRef>
              <c:f>'Backtest Stratégie 1'!$AB$6:$AB$50</c:f>
              <c:numCache>
                <c:formatCode>General</c:formatCode>
                <c:ptCount val="45"/>
                <c:pt idx="1">
                  <c:v>-39.627150950814666</c:v>
                </c:pt>
                <c:pt idx="2">
                  <c:v>-29.95349623979974</c:v>
                </c:pt>
                <c:pt idx="3">
                  <c:v>-57.977376581710743</c:v>
                </c:pt>
                <c:pt idx="4">
                  <c:v>-73.962273912375281</c:v>
                </c:pt>
                <c:pt idx="5">
                  <c:v>-128.7078033922445</c:v>
                </c:pt>
                <c:pt idx="6">
                  <c:v>-125.40474287328607</c:v>
                </c:pt>
                <c:pt idx="7">
                  <c:v>-141.9040317175679</c:v>
                </c:pt>
                <c:pt idx="8">
                  <c:v>-185.95765587910671</c:v>
                </c:pt>
                <c:pt idx="9">
                  <c:v>-168.97805193536132</c:v>
                </c:pt>
                <c:pt idx="10">
                  <c:v>-161.24032421784145</c:v>
                </c:pt>
                <c:pt idx="11">
                  <c:v>-186.91981839526201</c:v>
                </c:pt>
                <c:pt idx="12">
                  <c:v>-175.2171361101733</c:v>
                </c:pt>
                <c:pt idx="13">
                  <c:v>-201.19701374190907</c:v>
                </c:pt>
                <c:pt idx="14">
                  <c:v>-219.41028764381585</c:v>
                </c:pt>
                <c:pt idx="15">
                  <c:v>-252.31532503928426</c:v>
                </c:pt>
                <c:pt idx="16">
                  <c:v>-257.63009476454857</c:v>
                </c:pt>
                <c:pt idx="17">
                  <c:v>-270.89928680582216</c:v>
                </c:pt>
                <c:pt idx="18">
                  <c:v>-245.33002057130113</c:v>
                </c:pt>
                <c:pt idx="19">
                  <c:v>-297.7404566557135</c:v>
                </c:pt>
                <c:pt idx="20">
                  <c:v>-315.94145629386372</c:v>
                </c:pt>
                <c:pt idx="21">
                  <c:v>-317.39739994069066</c:v>
                </c:pt>
                <c:pt idx="22">
                  <c:v>-349.20011675875526</c:v>
                </c:pt>
                <c:pt idx="23">
                  <c:v>-351.55656957668407</c:v>
                </c:pt>
                <c:pt idx="24">
                  <c:v>-328.52638145396008</c:v>
                </c:pt>
                <c:pt idx="25">
                  <c:v>-353.62274309176541</c:v>
                </c:pt>
                <c:pt idx="26">
                  <c:v>-325.44447619686071</c:v>
                </c:pt>
                <c:pt idx="27">
                  <c:v>-346.22365038406923</c:v>
                </c:pt>
                <c:pt idx="28">
                  <c:v>-321.95306202063063</c:v>
                </c:pt>
                <c:pt idx="29">
                  <c:v>-344.88791203089181</c:v>
                </c:pt>
                <c:pt idx="30">
                  <c:v>-384.58250128526765</c:v>
                </c:pt>
                <c:pt idx="31">
                  <c:v>-380.57276837497528</c:v>
                </c:pt>
                <c:pt idx="32">
                  <c:v>-414.29837034694219</c:v>
                </c:pt>
                <c:pt idx="33">
                  <c:v>-399.23368449470848</c:v>
                </c:pt>
                <c:pt idx="34">
                  <c:v>-369.13740489549787</c:v>
                </c:pt>
                <c:pt idx="35">
                  <c:v>-336.67925375593251</c:v>
                </c:pt>
                <c:pt idx="36">
                  <c:v>-331.91576411410495</c:v>
                </c:pt>
                <c:pt idx="37">
                  <c:v>-339.62665215273375</c:v>
                </c:pt>
                <c:pt idx="38">
                  <c:v>-306.15424567563514</c:v>
                </c:pt>
                <c:pt idx="39">
                  <c:v>-317.41694553441391</c:v>
                </c:pt>
                <c:pt idx="40">
                  <c:v>-322.69145536106885</c:v>
                </c:pt>
                <c:pt idx="41">
                  <c:v>-342.08750444284669</c:v>
                </c:pt>
                <c:pt idx="42">
                  <c:v>-338.86990861472384</c:v>
                </c:pt>
                <c:pt idx="43">
                  <c:v>-319.64912511911257</c:v>
                </c:pt>
                <c:pt idx="44">
                  <c:v>-314.7943759277029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70A-4F4B-91BF-C797C00EB87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98260943"/>
        <c:axId val="398264783"/>
      </c:lineChart>
      <c:dateAx>
        <c:axId val="398260943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398264783"/>
        <c:crosses val="autoZero"/>
        <c:auto val="1"/>
        <c:lblOffset val="100"/>
        <c:baseTimeUnit val="days"/>
      </c:dateAx>
      <c:valAx>
        <c:axId val="39826478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39826094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P&amp;L</a:t>
            </a:r>
            <a:r>
              <a:rPr lang="fr-FR" baseline="0"/>
              <a:t> Indice vs. P&amp;L Strategy Equity + Put Spread</a:t>
            </a:r>
            <a:endParaRPr lang="fr-FR"/>
          </a:p>
        </c:rich>
      </c:tx>
      <c:layout>
        <c:manualLayout>
          <c:xMode val="edge"/>
          <c:yMode val="edge"/>
          <c:x val="0.10449999999999998"/>
          <c:y val="2.314814814814814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'Backtest Stratégie 2'!$W$5</c:f>
              <c:strCache>
                <c:ptCount val="1"/>
                <c:pt idx="0">
                  <c:v>P&amp;L_Indice cumulé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'Backtest Stratégie 2'!$A$6:$A$50</c:f>
              <c:numCache>
                <c:formatCode>m/d/yyyy</c:formatCode>
                <c:ptCount val="45"/>
                <c:pt idx="0">
                  <c:v>39598</c:v>
                </c:pt>
                <c:pt idx="1">
                  <c:v>39601</c:v>
                </c:pt>
                <c:pt idx="2">
                  <c:v>39602</c:v>
                </c:pt>
                <c:pt idx="3">
                  <c:v>39603</c:v>
                </c:pt>
                <c:pt idx="4">
                  <c:v>39604</c:v>
                </c:pt>
                <c:pt idx="5">
                  <c:v>39605</c:v>
                </c:pt>
                <c:pt idx="6">
                  <c:v>39608</c:v>
                </c:pt>
                <c:pt idx="7">
                  <c:v>39609</c:v>
                </c:pt>
                <c:pt idx="8">
                  <c:v>39610</c:v>
                </c:pt>
                <c:pt idx="9">
                  <c:v>39611</c:v>
                </c:pt>
                <c:pt idx="10">
                  <c:v>39612</c:v>
                </c:pt>
                <c:pt idx="11">
                  <c:v>39615</c:v>
                </c:pt>
                <c:pt idx="12">
                  <c:v>39616</c:v>
                </c:pt>
                <c:pt idx="13">
                  <c:v>39617</c:v>
                </c:pt>
                <c:pt idx="14">
                  <c:v>39618</c:v>
                </c:pt>
                <c:pt idx="15">
                  <c:v>39619</c:v>
                </c:pt>
                <c:pt idx="16">
                  <c:v>39622</c:v>
                </c:pt>
                <c:pt idx="17">
                  <c:v>39623</c:v>
                </c:pt>
                <c:pt idx="18">
                  <c:v>39624</c:v>
                </c:pt>
                <c:pt idx="19">
                  <c:v>39625</c:v>
                </c:pt>
                <c:pt idx="20">
                  <c:v>39626</c:v>
                </c:pt>
                <c:pt idx="21">
                  <c:v>39629</c:v>
                </c:pt>
                <c:pt idx="22">
                  <c:v>39630</c:v>
                </c:pt>
                <c:pt idx="23">
                  <c:v>39631</c:v>
                </c:pt>
                <c:pt idx="24">
                  <c:v>39632</c:v>
                </c:pt>
                <c:pt idx="25">
                  <c:v>39633</c:v>
                </c:pt>
                <c:pt idx="26">
                  <c:v>39636</c:v>
                </c:pt>
                <c:pt idx="27">
                  <c:v>39637</c:v>
                </c:pt>
                <c:pt idx="28">
                  <c:v>39638</c:v>
                </c:pt>
                <c:pt idx="29">
                  <c:v>39639</c:v>
                </c:pt>
                <c:pt idx="30">
                  <c:v>39640</c:v>
                </c:pt>
                <c:pt idx="31">
                  <c:v>39643</c:v>
                </c:pt>
                <c:pt idx="32">
                  <c:v>39644</c:v>
                </c:pt>
                <c:pt idx="33">
                  <c:v>39645</c:v>
                </c:pt>
                <c:pt idx="34">
                  <c:v>39646</c:v>
                </c:pt>
                <c:pt idx="35">
                  <c:v>39647</c:v>
                </c:pt>
                <c:pt idx="36">
                  <c:v>39650</c:v>
                </c:pt>
                <c:pt idx="37">
                  <c:v>39651</c:v>
                </c:pt>
                <c:pt idx="38">
                  <c:v>39652</c:v>
                </c:pt>
                <c:pt idx="39">
                  <c:v>39653</c:v>
                </c:pt>
                <c:pt idx="40">
                  <c:v>39654</c:v>
                </c:pt>
                <c:pt idx="41">
                  <c:v>39657</c:v>
                </c:pt>
                <c:pt idx="42">
                  <c:v>39658</c:v>
                </c:pt>
                <c:pt idx="43">
                  <c:v>39659</c:v>
                </c:pt>
                <c:pt idx="44">
                  <c:v>39660</c:v>
                </c:pt>
              </c:numCache>
            </c:numRef>
          </c:cat>
          <c:val>
            <c:numRef>
              <c:f>'Backtest Stratégie 2'!$W$6:$W$50</c:f>
              <c:numCache>
                <c:formatCode>General</c:formatCode>
                <c:ptCount val="45"/>
                <c:pt idx="1">
                  <c:v>-57.349999999999909</c:v>
                </c:pt>
                <c:pt idx="2">
                  <c:v>-40.509999999999764</c:v>
                </c:pt>
                <c:pt idx="3">
                  <c:v>-78.799999999999727</c:v>
                </c:pt>
                <c:pt idx="4">
                  <c:v>-95.019999999999982</c:v>
                </c:pt>
                <c:pt idx="5">
                  <c:v>-181.15000000000009</c:v>
                </c:pt>
                <c:pt idx="6">
                  <c:v>-180.50999999999976</c:v>
                </c:pt>
                <c:pt idx="7">
                  <c:v>-203.15000000000009</c:v>
                </c:pt>
                <c:pt idx="8">
                  <c:v>-268.46000000000004</c:v>
                </c:pt>
                <c:pt idx="9">
                  <c:v>-235.25999999999976</c:v>
                </c:pt>
                <c:pt idx="10">
                  <c:v>-215.17999999999984</c:v>
                </c:pt>
                <c:pt idx="11">
                  <c:v>-245.01999999999998</c:v>
                </c:pt>
                <c:pt idx="12">
                  <c:v>-222.26999999999998</c:v>
                </c:pt>
                <c:pt idx="13">
                  <c:v>-269.88000000000011</c:v>
                </c:pt>
                <c:pt idx="14">
                  <c:v>-291.13999999999987</c:v>
                </c:pt>
                <c:pt idx="15">
                  <c:v>-351.27</c:v>
                </c:pt>
                <c:pt idx="16">
                  <c:v>-350.52</c:v>
                </c:pt>
                <c:pt idx="17">
                  <c:v>-373.32999999999993</c:v>
                </c:pt>
                <c:pt idx="18">
                  <c:v>-317.44999999999982</c:v>
                </c:pt>
                <c:pt idx="19">
                  <c:v>-411.5</c:v>
                </c:pt>
                <c:pt idx="20">
                  <c:v>-437.57999999999993</c:v>
                </c:pt>
                <c:pt idx="21">
                  <c:v>-425.03999999999996</c:v>
                </c:pt>
                <c:pt idx="22">
                  <c:v>-484.98999999999978</c:v>
                </c:pt>
                <c:pt idx="23">
                  <c:v>-489.32999999999993</c:v>
                </c:pt>
                <c:pt idx="24">
                  <c:v>-446.94999999999982</c:v>
                </c:pt>
                <c:pt idx="25">
                  <c:v>-502.65000000000009</c:v>
                </c:pt>
                <c:pt idx="26">
                  <c:v>-445.19000000000005</c:v>
                </c:pt>
                <c:pt idx="27">
                  <c:v>-490.25</c:v>
                </c:pt>
                <c:pt idx="28">
                  <c:v>-435.36999999999989</c:v>
                </c:pt>
                <c:pt idx="29">
                  <c:v>-494.83999999999969</c:v>
                </c:pt>
                <c:pt idx="30">
                  <c:v>-580.06999999999971</c:v>
                </c:pt>
                <c:pt idx="31">
                  <c:v>-561.61000000000013</c:v>
                </c:pt>
                <c:pt idx="32">
                  <c:v>-635.11999999999989</c:v>
                </c:pt>
                <c:pt idx="33">
                  <c:v>-603.08999999999969</c:v>
                </c:pt>
                <c:pt idx="34">
                  <c:v>-521.75999999999976</c:v>
                </c:pt>
                <c:pt idx="35">
                  <c:v>-456.31999999999971</c:v>
                </c:pt>
                <c:pt idx="36">
                  <c:v>-443.92999999999984</c:v>
                </c:pt>
                <c:pt idx="37">
                  <c:v>-451.61000000000013</c:v>
                </c:pt>
                <c:pt idx="38">
                  <c:v>-390.34999999999991</c:v>
                </c:pt>
                <c:pt idx="39">
                  <c:v>-423.27</c:v>
                </c:pt>
                <c:pt idx="40">
                  <c:v>-426.7199999999998</c:v>
                </c:pt>
                <c:pt idx="41">
                  <c:v>-464.44000000000005</c:v>
                </c:pt>
                <c:pt idx="42">
                  <c:v>-452.98999999999978</c:v>
                </c:pt>
                <c:pt idx="43">
                  <c:v>-410.52</c:v>
                </c:pt>
                <c:pt idx="44">
                  <c:v>-410.02999999999975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E21-4DED-A4B7-B5B5CA0FAB4D}"/>
            </c:ext>
          </c:extLst>
        </c:ser>
        <c:ser>
          <c:idx val="1"/>
          <c:order val="1"/>
          <c:tx>
            <c:strRef>
              <c:f>'Backtest Stratégie 2'!$AA$5</c:f>
              <c:strCache>
                <c:ptCount val="1"/>
                <c:pt idx="0">
                  <c:v>P&amp;L Stratégie cumulé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'Backtest Stratégie 2'!$A$6:$A$50</c:f>
              <c:numCache>
                <c:formatCode>m/d/yyyy</c:formatCode>
                <c:ptCount val="45"/>
                <c:pt idx="0">
                  <c:v>39598</c:v>
                </c:pt>
                <c:pt idx="1">
                  <c:v>39601</c:v>
                </c:pt>
                <c:pt idx="2">
                  <c:v>39602</c:v>
                </c:pt>
                <c:pt idx="3">
                  <c:v>39603</c:v>
                </c:pt>
                <c:pt idx="4">
                  <c:v>39604</c:v>
                </c:pt>
                <c:pt idx="5">
                  <c:v>39605</c:v>
                </c:pt>
                <c:pt idx="6">
                  <c:v>39608</c:v>
                </c:pt>
                <c:pt idx="7">
                  <c:v>39609</c:v>
                </c:pt>
                <c:pt idx="8">
                  <c:v>39610</c:v>
                </c:pt>
                <c:pt idx="9">
                  <c:v>39611</c:v>
                </c:pt>
                <c:pt idx="10">
                  <c:v>39612</c:v>
                </c:pt>
                <c:pt idx="11">
                  <c:v>39615</c:v>
                </c:pt>
                <c:pt idx="12">
                  <c:v>39616</c:v>
                </c:pt>
                <c:pt idx="13">
                  <c:v>39617</c:v>
                </c:pt>
                <c:pt idx="14">
                  <c:v>39618</c:v>
                </c:pt>
                <c:pt idx="15">
                  <c:v>39619</c:v>
                </c:pt>
                <c:pt idx="16">
                  <c:v>39622</c:v>
                </c:pt>
                <c:pt idx="17">
                  <c:v>39623</c:v>
                </c:pt>
                <c:pt idx="18">
                  <c:v>39624</c:v>
                </c:pt>
                <c:pt idx="19">
                  <c:v>39625</c:v>
                </c:pt>
                <c:pt idx="20">
                  <c:v>39626</c:v>
                </c:pt>
                <c:pt idx="21">
                  <c:v>39629</c:v>
                </c:pt>
                <c:pt idx="22">
                  <c:v>39630</c:v>
                </c:pt>
                <c:pt idx="23">
                  <c:v>39631</c:v>
                </c:pt>
                <c:pt idx="24">
                  <c:v>39632</c:v>
                </c:pt>
                <c:pt idx="25">
                  <c:v>39633</c:v>
                </c:pt>
                <c:pt idx="26">
                  <c:v>39636</c:v>
                </c:pt>
                <c:pt idx="27">
                  <c:v>39637</c:v>
                </c:pt>
                <c:pt idx="28">
                  <c:v>39638</c:v>
                </c:pt>
                <c:pt idx="29">
                  <c:v>39639</c:v>
                </c:pt>
                <c:pt idx="30">
                  <c:v>39640</c:v>
                </c:pt>
                <c:pt idx="31">
                  <c:v>39643</c:v>
                </c:pt>
                <c:pt idx="32">
                  <c:v>39644</c:v>
                </c:pt>
                <c:pt idx="33">
                  <c:v>39645</c:v>
                </c:pt>
                <c:pt idx="34">
                  <c:v>39646</c:v>
                </c:pt>
                <c:pt idx="35">
                  <c:v>39647</c:v>
                </c:pt>
                <c:pt idx="36">
                  <c:v>39650</c:v>
                </c:pt>
                <c:pt idx="37">
                  <c:v>39651</c:v>
                </c:pt>
                <c:pt idx="38">
                  <c:v>39652</c:v>
                </c:pt>
                <c:pt idx="39">
                  <c:v>39653</c:v>
                </c:pt>
                <c:pt idx="40">
                  <c:v>39654</c:v>
                </c:pt>
                <c:pt idx="41">
                  <c:v>39657</c:v>
                </c:pt>
                <c:pt idx="42">
                  <c:v>39658</c:v>
                </c:pt>
                <c:pt idx="43">
                  <c:v>39659</c:v>
                </c:pt>
                <c:pt idx="44">
                  <c:v>39660</c:v>
                </c:pt>
              </c:numCache>
            </c:numRef>
          </c:cat>
          <c:val>
            <c:numRef>
              <c:f>'Backtest Stratégie 2'!$AA$6:$AA$50</c:f>
              <c:numCache>
                <c:formatCode>_-* #\ ##0.00\ _€_-;\-* #\ ##0.00\ _€_-;_-* "-"??\ _€_-;_-@_-</c:formatCode>
                <c:ptCount val="45"/>
                <c:pt idx="1">
                  <c:v>-50.049999999999898</c:v>
                </c:pt>
                <c:pt idx="2">
                  <c:v>-36.109999999999772</c:v>
                </c:pt>
                <c:pt idx="3">
                  <c:v>-70.199999999999719</c:v>
                </c:pt>
                <c:pt idx="4">
                  <c:v>-85.619999999999976</c:v>
                </c:pt>
                <c:pt idx="5">
                  <c:v>-161.25000000000009</c:v>
                </c:pt>
                <c:pt idx="6">
                  <c:v>-160.50999999999976</c:v>
                </c:pt>
                <c:pt idx="7">
                  <c:v>-180.35000000000008</c:v>
                </c:pt>
                <c:pt idx="8">
                  <c:v>-235.86000000000004</c:v>
                </c:pt>
                <c:pt idx="9">
                  <c:v>-208.25999999999976</c:v>
                </c:pt>
                <c:pt idx="10">
                  <c:v>-192.47999999999985</c:v>
                </c:pt>
                <c:pt idx="11">
                  <c:v>-219.71999999999997</c:v>
                </c:pt>
                <c:pt idx="12">
                  <c:v>-200.96999999999997</c:v>
                </c:pt>
                <c:pt idx="13">
                  <c:v>-239.58000000000013</c:v>
                </c:pt>
                <c:pt idx="14">
                  <c:v>-258.53999999999985</c:v>
                </c:pt>
                <c:pt idx="15">
                  <c:v>-307.96999999999991</c:v>
                </c:pt>
                <c:pt idx="16">
                  <c:v>-308.61999999999989</c:v>
                </c:pt>
                <c:pt idx="17">
                  <c:v>-327.22999999999985</c:v>
                </c:pt>
                <c:pt idx="18">
                  <c:v>-282.24999999999977</c:v>
                </c:pt>
                <c:pt idx="19">
                  <c:v>-359.19999999999993</c:v>
                </c:pt>
                <c:pt idx="20">
                  <c:v>-380.97999999999985</c:v>
                </c:pt>
                <c:pt idx="21">
                  <c:v>-373.13999999999987</c:v>
                </c:pt>
                <c:pt idx="22">
                  <c:v>-421.98999999999967</c:v>
                </c:pt>
                <c:pt idx="23">
                  <c:v>-425.42999999999984</c:v>
                </c:pt>
                <c:pt idx="24">
                  <c:v>-390.54999999999967</c:v>
                </c:pt>
                <c:pt idx="25">
                  <c:v>-434.04999999999995</c:v>
                </c:pt>
                <c:pt idx="26">
                  <c:v>-387.78999999999996</c:v>
                </c:pt>
                <c:pt idx="27">
                  <c:v>-423.44999999999993</c:v>
                </c:pt>
                <c:pt idx="28">
                  <c:v>-380.26999999999981</c:v>
                </c:pt>
                <c:pt idx="29">
                  <c:v>-425.4399999999996</c:v>
                </c:pt>
                <c:pt idx="30">
                  <c:v>-494.46999999999963</c:v>
                </c:pt>
                <c:pt idx="31">
                  <c:v>-480.11</c:v>
                </c:pt>
                <c:pt idx="32">
                  <c:v>-538.81999999999982</c:v>
                </c:pt>
                <c:pt idx="33">
                  <c:v>-511.88999999999959</c:v>
                </c:pt>
                <c:pt idx="34">
                  <c:v>-449.05999999999972</c:v>
                </c:pt>
                <c:pt idx="35">
                  <c:v>-397.41999999999967</c:v>
                </c:pt>
                <c:pt idx="36">
                  <c:v>-388.32999999999981</c:v>
                </c:pt>
                <c:pt idx="37">
                  <c:v>-395.0100000000001</c:v>
                </c:pt>
                <c:pt idx="38">
                  <c:v>-345.04999999999984</c:v>
                </c:pt>
                <c:pt idx="39">
                  <c:v>-369.16999999999996</c:v>
                </c:pt>
                <c:pt idx="40">
                  <c:v>-373.31999999999977</c:v>
                </c:pt>
                <c:pt idx="41">
                  <c:v>-402.84000000000003</c:v>
                </c:pt>
                <c:pt idx="42">
                  <c:v>-394.58999999999969</c:v>
                </c:pt>
                <c:pt idx="43">
                  <c:v>-361.51999999999992</c:v>
                </c:pt>
                <c:pt idx="44">
                  <c:v>-359.02999999999975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E21-4DED-A4B7-B5B5CA0FAB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56656848"/>
        <c:axId val="1056657328"/>
      </c:lineChart>
      <c:dateAx>
        <c:axId val="1056656848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056657328"/>
        <c:crosses val="autoZero"/>
        <c:auto val="1"/>
        <c:lblOffset val="100"/>
        <c:baseTimeUnit val="days"/>
      </c:dateAx>
      <c:valAx>
        <c:axId val="10566573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05665684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Contribution</a:t>
            </a:r>
            <a:r>
              <a:rPr lang="fr-FR" baseline="0"/>
              <a:t> des Greeks</a:t>
            </a:r>
            <a:endParaRPr lang="fr-FR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'Backtest Stratégie 2'!$AC$5</c:f>
              <c:strCache>
                <c:ptCount val="1"/>
                <c:pt idx="0">
                  <c:v>P&amp;L Delta cumulé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'Backtest Stratégie 2'!$A$6:$A$50</c:f>
              <c:numCache>
                <c:formatCode>m/d/yyyy</c:formatCode>
                <c:ptCount val="45"/>
                <c:pt idx="0">
                  <c:v>39598</c:v>
                </c:pt>
                <c:pt idx="1">
                  <c:v>39601</c:v>
                </c:pt>
                <c:pt idx="2">
                  <c:v>39602</c:v>
                </c:pt>
                <c:pt idx="3">
                  <c:v>39603</c:v>
                </c:pt>
                <c:pt idx="4">
                  <c:v>39604</c:v>
                </c:pt>
                <c:pt idx="5">
                  <c:v>39605</c:v>
                </c:pt>
                <c:pt idx="6">
                  <c:v>39608</c:v>
                </c:pt>
                <c:pt idx="7">
                  <c:v>39609</c:v>
                </c:pt>
                <c:pt idx="8">
                  <c:v>39610</c:v>
                </c:pt>
                <c:pt idx="9">
                  <c:v>39611</c:v>
                </c:pt>
                <c:pt idx="10">
                  <c:v>39612</c:v>
                </c:pt>
                <c:pt idx="11">
                  <c:v>39615</c:v>
                </c:pt>
                <c:pt idx="12">
                  <c:v>39616</c:v>
                </c:pt>
                <c:pt idx="13">
                  <c:v>39617</c:v>
                </c:pt>
                <c:pt idx="14">
                  <c:v>39618</c:v>
                </c:pt>
                <c:pt idx="15">
                  <c:v>39619</c:v>
                </c:pt>
                <c:pt idx="16">
                  <c:v>39622</c:v>
                </c:pt>
                <c:pt idx="17">
                  <c:v>39623</c:v>
                </c:pt>
                <c:pt idx="18">
                  <c:v>39624</c:v>
                </c:pt>
                <c:pt idx="19">
                  <c:v>39625</c:v>
                </c:pt>
                <c:pt idx="20">
                  <c:v>39626</c:v>
                </c:pt>
                <c:pt idx="21">
                  <c:v>39629</c:v>
                </c:pt>
                <c:pt idx="22">
                  <c:v>39630</c:v>
                </c:pt>
                <c:pt idx="23">
                  <c:v>39631</c:v>
                </c:pt>
                <c:pt idx="24">
                  <c:v>39632</c:v>
                </c:pt>
                <c:pt idx="25">
                  <c:v>39633</c:v>
                </c:pt>
                <c:pt idx="26">
                  <c:v>39636</c:v>
                </c:pt>
                <c:pt idx="27">
                  <c:v>39637</c:v>
                </c:pt>
                <c:pt idx="28">
                  <c:v>39638</c:v>
                </c:pt>
                <c:pt idx="29">
                  <c:v>39639</c:v>
                </c:pt>
                <c:pt idx="30">
                  <c:v>39640</c:v>
                </c:pt>
                <c:pt idx="31">
                  <c:v>39643</c:v>
                </c:pt>
                <c:pt idx="32">
                  <c:v>39644</c:v>
                </c:pt>
                <c:pt idx="33">
                  <c:v>39645</c:v>
                </c:pt>
                <c:pt idx="34">
                  <c:v>39646</c:v>
                </c:pt>
                <c:pt idx="35">
                  <c:v>39647</c:v>
                </c:pt>
                <c:pt idx="36">
                  <c:v>39650</c:v>
                </c:pt>
                <c:pt idx="37">
                  <c:v>39651</c:v>
                </c:pt>
                <c:pt idx="38">
                  <c:v>39652</c:v>
                </c:pt>
                <c:pt idx="39">
                  <c:v>39653</c:v>
                </c:pt>
                <c:pt idx="40">
                  <c:v>39654</c:v>
                </c:pt>
                <c:pt idx="41">
                  <c:v>39657</c:v>
                </c:pt>
                <c:pt idx="42">
                  <c:v>39658</c:v>
                </c:pt>
                <c:pt idx="43">
                  <c:v>39659</c:v>
                </c:pt>
                <c:pt idx="44">
                  <c:v>39660</c:v>
                </c:pt>
              </c:numCache>
            </c:numRef>
          </c:cat>
          <c:val>
            <c:numRef>
              <c:f>'Backtest Stratégie 2'!$AC$6:$AC$50</c:f>
              <c:numCache>
                <c:formatCode>General</c:formatCode>
                <c:ptCount val="45"/>
                <c:pt idx="1">
                  <c:v>-51.523500506290944</c:v>
                </c:pt>
                <c:pt idx="2">
                  <c:v>-36.486605239132508</c:v>
                </c:pt>
                <c:pt idx="3">
                  <c:v>-70.731519872337032</c:v>
                </c:pt>
                <c:pt idx="4">
                  <c:v>-85.177738069069136</c:v>
                </c:pt>
                <c:pt idx="5">
                  <c:v>-161.69299338209402</c:v>
                </c:pt>
                <c:pt idx="6">
                  <c:v>-161.1286278390746</c:v>
                </c:pt>
                <c:pt idx="7">
                  <c:v>-181.1076029146376</c:v>
                </c:pt>
                <c:pt idx="8">
                  <c:v>-238.57730623599542</c:v>
                </c:pt>
                <c:pt idx="9">
                  <c:v>-209.59488704873846</c:v>
                </c:pt>
                <c:pt idx="10">
                  <c:v>-192.02546019115954</c:v>
                </c:pt>
                <c:pt idx="11">
                  <c:v>-218.16072951729069</c:v>
                </c:pt>
                <c:pt idx="12">
                  <c:v>-198.33678993647854</c:v>
                </c:pt>
                <c:pt idx="13">
                  <c:v>-239.89822300281713</c:v>
                </c:pt>
                <c:pt idx="14">
                  <c:v>-258.36519081844136</c:v>
                </c:pt>
                <c:pt idx="15">
                  <c:v>-310.38629748407322</c:v>
                </c:pt>
                <c:pt idx="16">
                  <c:v>-309.74116799317943</c:v>
                </c:pt>
                <c:pt idx="17">
                  <c:v>-329.31963321966003</c:v>
                </c:pt>
                <c:pt idx="18">
                  <c:v>-281.48728159942294</c:v>
                </c:pt>
                <c:pt idx="19">
                  <c:v>-362.28086473459939</c:v>
                </c:pt>
                <c:pt idx="20">
                  <c:v>-384.4628798107762</c:v>
                </c:pt>
                <c:pt idx="21">
                  <c:v>-373.84481080148367</c:v>
                </c:pt>
                <c:pt idx="22">
                  <c:v>-424.49653233707926</c:v>
                </c:pt>
                <c:pt idx="23">
                  <c:v>-428.14144187691403</c:v>
                </c:pt>
                <c:pt idx="24">
                  <c:v>-392.57195521442111</c:v>
                </c:pt>
                <c:pt idx="25">
                  <c:v>-439.51408066144893</c:v>
                </c:pt>
                <c:pt idx="26">
                  <c:v>-391.2806441423669</c:v>
                </c:pt>
                <c:pt idx="27">
                  <c:v>-429.25765884148234</c:v>
                </c:pt>
                <c:pt idx="28">
                  <c:v>-383.15469588781002</c:v>
                </c:pt>
                <c:pt idx="29">
                  <c:v>-433.27619213577469</c:v>
                </c:pt>
                <c:pt idx="30">
                  <c:v>-504.91368535946913</c:v>
                </c:pt>
                <c:pt idx="31">
                  <c:v>-489.47457035984132</c:v>
                </c:pt>
                <c:pt idx="32">
                  <c:v>-550.84308334071636</c:v>
                </c:pt>
                <c:pt idx="33">
                  <c:v>-524.21590791566177</c:v>
                </c:pt>
                <c:pt idx="34">
                  <c:v>-456.51406411901354</c:v>
                </c:pt>
                <c:pt idx="35">
                  <c:v>-401.98670915514231</c:v>
                </c:pt>
                <c:pt idx="36">
                  <c:v>-391.60263545323318</c:v>
                </c:pt>
                <c:pt idx="37">
                  <c:v>-398.04151225897022</c:v>
                </c:pt>
                <c:pt idx="38">
                  <c:v>-346.8262213673251</c:v>
                </c:pt>
                <c:pt idx="39">
                  <c:v>-374.53721529757797</c:v>
                </c:pt>
                <c:pt idx="40">
                  <c:v>-377.43655522402258</c:v>
                </c:pt>
                <c:pt idx="41">
                  <c:v>-409.08233504401892</c:v>
                </c:pt>
                <c:pt idx="42">
                  <c:v>-399.52040652699202</c:v>
                </c:pt>
                <c:pt idx="43">
                  <c:v>-364.05672732701237</c:v>
                </c:pt>
                <c:pt idx="44">
                  <c:v>-363.64621791356223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92F-4357-A8D9-921A419D164D}"/>
            </c:ext>
          </c:extLst>
        </c:ser>
        <c:ser>
          <c:idx val="1"/>
          <c:order val="1"/>
          <c:tx>
            <c:strRef>
              <c:f>'Backtest Stratégie 2'!$AE$5</c:f>
              <c:strCache>
                <c:ptCount val="1"/>
                <c:pt idx="0">
                  <c:v>P&amp;L Gamma +Theta cumulé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'Backtest Stratégie 2'!$A$6:$A$50</c:f>
              <c:numCache>
                <c:formatCode>m/d/yyyy</c:formatCode>
                <c:ptCount val="45"/>
                <c:pt idx="0">
                  <c:v>39598</c:v>
                </c:pt>
                <c:pt idx="1">
                  <c:v>39601</c:v>
                </c:pt>
                <c:pt idx="2">
                  <c:v>39602</c:v>
                </c:pt>
                <c:pt idx="3">
                  <c:v>39603</c:v>
                </c:pt>
                <c:pt idx="4">
                  <c:v>39604</c:v>
                </c:pt>
                <c:pt idx="5">
                  <c:v>39605</c:v>
                </c:pt>
                <c:pt idx="6">
                  <c:v>39608</c:v>
                </c:pt>
                <c:pt idx="7">
                  <c:v>39609</c:v>
                </c:pt>
                <c:pt idx="8">
                  <c:v>39610</c:v>
                </c:pt>
                <c:pt idx="9">
                  <c:v>39611</c:v>
                </c:pt>
                <c:pt idx="10">
                  <c:v>39612</c:v>
                </c:pt>
                <c:pt idx="11">
                  <c:v>39615</c:v>
                </c:pt>
                <c:pt idx="12">
                  <c:v>39616</c:v>
                </c:pt>
                <c:pt idx="13">
                  <c:v>39617</c:v>
                </c:pt>
                <c:pt idx="14">
                  <c:v>39618</c:v>
                </c:pt>
                <c:pt idx="15">
                  <c:v>39619</c:v>
                </c:pt>
                <c:pt idx="16">
                  <c:v>39622</c:v>
                </c:pt>
                <c:pt idx="17">
                  <c:v>39623</c:v>
                </c:pt>
                <c:pt idx="18">
                  <c:v>39624</c:v>
                </c:pt>
                <c:pt idx="19">
                  <c:v>39625</c:v>
                </c:pt>
                <c:pt idx="20">
                  <c:v>39626</c:v>
                </c:pt>
                <c:pt idx="21">
                  <c:v>39629</c:v>
                </c:pt>
                <c:pt idx="22">
                  <c:v>39630</c:v>
                </c:pt>
                <c:pt idx="23">
                  <c:v>39631</c:v>
                </c:pt>
                <c:pt idx="24">
                  <c:v>39632</c:v>
                </c:pt>
                <c:pt idx="25">
                  <c:v>39633</c:v>
                </c:pt>
                <c:pt idx="26">
                  <c:v>39636</c:v>
                </c:pt>
                <c:pt idx="27">
                  <c:v>39637</c:v>
                </c:pt>
                <c:pt idx="28">
                  <c:v>39638</c:v>
                </c:pt>
                <c:pt idx="29">
                  <c:v>39639</c:v>
                </c:pt>
                <c:pt idx="30">
                  <c:v>39640</c:v>
                </c:pt>
                <c:pt idx="31">
                  <c:v>39643</c:v>
                </c:pt>
                <c:pt idx="32">
                  <c:v>39644</c:v>
                </c:pt>
                <c:pt idx="33">
                  <c:v>39645</c:v>
                </c:pt>
                <c:pt idx="34">
                  <c:v>39646</c:v>
                </c:pt>
                <c:pt idx="35">
                  <c:v>39647</c:v>
                </c:pt>
                <c:pt idx="36">
                  <c:v>39650</c:v>
                </c:pt>
                <c:pt idx="37">
                  <c:v>39651</c:v>
                </c:pt>
                <c:pt idx="38">
                  <c:v>39652</c:v>
                </c:pt>
                <c:pt idx="39">
                  <c:v>39653</c:v>
                </c:pt>
                <c:pt idx="40">
                  <c:v>39654</c:v>
                </c:pt>
                <c:pt idx="41">
                  <c:v>39657</c:v>
                </c:pt>
                <c:pt idx="42">
                  <c:v>39658</c:v>
                </c:pt>
                <c:pt idx="43">
                  <c:v>39659</c:v>
                </c:pt>
                <c:pt idx="44">
                  <c:v>39660</c:v>
                </c:pt>
              </c:numCache>
            </c:numRef>
          </c:cat>
          <c:val>
            <c:numRef>
              <c:f>'Backtest Stratégie 2'!$AE$6:$AE$50</c:f>
              <c:numCache>
                <c:formatCode>General</c:formatCode>
                <c:ptCount val="45"/>
                <c:pt idx="1">
                  <c:v>4.3075399376532694E-2</c:v>
                </c:pt>
                <c:pt idx="2">
                  <c:v>2.4385160410493684E-2</c:v>
                </c:pt>
                <c:pt idx="3">
                  <c:v>6.0894628001720991E-2</c:v>
                </c:pt>
                <c:pt idx="4">
                  <c:v>4.4396658532589013E-2</c:v>
                </c:pt>
                <c:pt idx="5">
                  <c:v>0.3846596782431711</c:v>
                </c:pt>
                <c:pt idx="6">
                  <c:v>0.34436570833128877</c:v>
                </c:pt>
                <c:pt idx="7">
                  <c:v>0.35582783967183773</c:v>
                </c:pt>
                <c:pt idx="8">
                  <c:v>0.55037970062295793</c:v>
                </c:pt>
                <c:pt idx="9">
                  <c:v>0.60060348838999222</c:v>
                </c:pt>
                <c:pt idx="10">
                  <c:v>0.6130612287797238</c:v>
                </c:pt>
                <c:pt idx="11">
                  <c:v>0.62786839196873134</c:v>
                </c:pt>
                <c:pt idx="12">
                  <c:v>0.64948362395283155</c:v>
                </c:pt>
                <c:pt idx="13">
                  <c:v>0.7621039757107152</c:v>
                </c:pt>
                <c:pt idx="14">
                  <c:v>0.78218600046465503</c:v>
                </c:pt>
                <c:pt idx="15">
                  <c:v>0.97122682593604426</c:v>
                </c:pt>
                <c:pt idx="16">
                  <c:v>1.001744754327057</c:v>
                </c:pt>
                <c:pt idx="17">
                  <c:v>1.0384820989979491</c:v>
                </c:pt>
                <c:pt idx="18">
                  <c:v>1.2080824594019064</c:v>
                </c:pt>
                <c:pt idx="19">
                  <c:v>1.6947354286430476</c:v>
                </c:pt>
                <c:pt idx="20">
                  <c:v>1.7488387903660245</c:v>
                </c:pt>
                <c:pt idx="21">
                  <c:v>1.8332167481157913</c:v>
                </c:pt>
                <c:pt idx="22">
                  <c:v>2.0468328521771157</c:v>
                </c:pt>
                <c:pt idx="23">
                  <c:v>2.0855255816731564</c:v>
                </c:pt>
                <c:pt idx="24">
                  <c:v>2.2101589883341854</c:v>
                </c:pt>
                <c:pt idx="25">
                  <c:v>2.3968555679334727</c:v>
                </c:pt>
                <c:pt idx="26">
                  <c:v>2.6628968647071631</c:v>
                </c:pt>
                <c:pt idx="27">
                  <c:v>2.7920075644675131</c:v>
                </c:pt>
                <c:pt idx="28">
                  <c:v>2.9660517138185787</c:v>
                </c:pt>
                <c:pt idx="29">
                  <c:v>3.1741755645605423</c:v>
                </c:pt>
                <c:pt idx="30">
                  <c:v>3.5297713491264258</c:v>
                </c:pt>
                <c:pt idx="31">
                  <c:v>3.704591867083102</c:v>
                </c:pt>
                <c:pt idx="32">
                  <c:v>3.9680009919512829</c:v>
                </c:pt>
                <c:pt idx="33">
                  <c:v>4.0678758953836276</c:v>
                </c:pt>
                <c:pt idx="34">
                  <c:v>4.354124195756528</c:v>
                </c:pt>
                <c:pt idx="35">
                  <c:v>4.5907069106382625</c:v>
                </c:pt>
                <c:pt idx="36">
                  <c:v>4.6876263297692189</c:v>
                </c:pt>
                <c:pt idx="37">
                  <c:v>4.7188174329685655</c:v>
                </c:pt>
                <c:pt idx="38">
                  <c:v>4.9523264309938222</c:v>
                </c:pt>
                <c:pt idx="39">
                  <c:v>5.031338725814412</c:v>
                </c:pt>
                <c:pt idx="40">
                  <c:v>5.0522439679438635</c:v>
                </c:pt>
                <c:pt idx="41">
                  <c:v>5.1974933863555322</c:v>
                </c:pt>
                <c:pt idx="42">
                  <c:v>5.2341053864684772</c:v>
                </c:pt>
                <c:pt idx="43">
                  <c:v>5.3590197324057769</c:v>
                </c:pt>
                <c:pt idx="44">
                  <c:v>5.378229709432528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92F-4357-A8D9-921A419D164D}"/>
            </c:ext>
          </c:extLst>
        </c:ser>
        <c:ser>
          <c:idx val="2"/>
          <c:order val="2"/>
          <c:tx>
            <c:strRef>
              <c:f>'Backtest Stratégie 2'!$AG$5</c:f>
              <c:strCache>
                <c:ptCount val="1"/>
                <c:pt idx="0">
                  <c:v>P&amp;L Vega cumulé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'Backtest Stratégie 2'!$A$6:$A$50</c:f>
              <c:numCache>
                <c:formatCode>m/d/yyyy</c:formatCode>
                <c:ptCount val="45"/>
                <c:pt idx="0">
                  <c:v>39598</c:v>
                </c:pt>
                <c:pt idx="1">
                  <c:v>39601</c:v>
                </c:pt>
                <c:pt idx="2">
                  <c:v>39602</c:v>
                </c:pt>
                <c:pt idx="3">
                  <c:v>39603</c:v>
                </c:pt>
                <c:pt idx="4">
                  <c:v>39604</c:v>
                </c:pt>
                <c:pt idx="5">
                  <c:v>39605</c:v>
                </c:pt>
                <c:pt idx="6">
                  <c:v>39608</c:v>
                </c:pt>
                <c:pt idx="7">
                  <c:v>39609</c:v>
                </c:pt>
                <c:pt idx="8">
                  <c:v>39610</c:v>
                </c:pt>
                <c:pt idx="9">
                  <c:v>39611</c:v>
                </c:pt>
                <c:pt idx="10">
                  <c:v>39612</c:v>
                </c:pt>
                <c:pt idx="11">
                  <c:v>39615</c:v>
                </c:pt>
                <c:pt idx="12">
                  <c:v>39616</c:v>
                </c:pt>
                <c:pt idx="13">
                  <c:v>39617</c:v>
                </c:pt>
                <c:pt idx="14">
                  <c:v>39618</c:v>
                </c:pt>
                <c:pt idx="15">
                  <c:v>39619</c:v>
                </c:pt>
                <c:pt idx="16">
                  <c:v>39622</c:v>
                </c:pt>
                <c:pt idx="17">
                  <c:v>39623</c:v>
                </c:pt>
                <c:pt idx="18">
                  <c:v>39624</c:v>
                </c:pt>
                <c:pt idx="19">
                  <c:v>39625</c:v>
                </c:pt>
                <c:pt idx="20">
                  <c:v>39626</c:v>
                </c:pt>
                <c:pt idx="21">
                  <c:v>39629</c:v>
                </c:pt>
                <c:pt idx="22">
                  <c:v>39630</c:v>
                </c:pt>
                <c:pt idx="23">
                  <c:v>39631</c:v>
                </c:pt>
                <c:pt idx="24">
                  <c:v>39632</c:v>
                </c:pt>
                <c:pt idx="25">
                  <c:v>39633</c:v>
                </c:pt>
                <c:pt idx="26">
                  <c:v>39636</c:v>
                </c:pt>
                <c:pt idx="27">
                  <c:v>39637</c:v>
                </c:pt>
                <c:pt idx="28">
                  <c:v>39638</c:v>
                </c:pt>
                <c:pt idx="29">
                  <c:v>39639</c:v>
                </c:pt>
                <c:pt idx="30">
                  <c:v>39640</c:v>
                </c:pt>
                <c:pt idx="31">
                  <c:v>39643</c:v>
                </c:pt>
                <c:pt idx="32">
                  <c:v>39644</c:v>
                </c:pt>
                <c:pt idx="33">
                  <c:v>39645</c:v>
                </c:pt>
                <c:pt idx="34">
                  <c:v>39646</c:v>
                </c:pt>
                <c:pt idx="35">
                  <c:v>39647</c:v>
                </c:pt>
                <c:pt idx="36">
                  <c:v>39650</c:v>
                </c:pt>
                <c:pt idx="37">
                  <c:v>39651</c:v>
                </c:pt>
                <c:pt idx="38">
                  <c:v>39652</c:v>
                </c:pt>
                <c:pt idx="39">
                  <c:v>39653</c:v>
                </c:pt>
                <c:pt idx="40">
                  <c:v>39654</c:v>
                </c:pt>
                <c:pt idx="41">
                  <c:v>39657</c:v>
                </c:pt>
                <c:pt idx="42">
                  <c:v>39658</c:v>
                </c:pt>
                <c:pt idx="43">
                  <c:v>39659</c:v>
                </c:pt>
                <c:pt idx="44">
                  <c:v>39660</c:v>
                </c:pt>
              </c:numCache>
            </c:numRef>
          </c:cat>
          <c:val>
            <c:numRef>
              <c:f>'Backtest Stratégie 2'!$AG$6:$AG$50</c:f>
              <c:numCache>
                <c:formatCode>General</c:formatCode>
                <c:ptCount val="45"/>
                <c:pt idx="1">
                  <c:v>1.4332774979786649</c:v>
                </c:pt>
                <c:pt idx="2">
                  <c:v>0.33751121174958265</c:v>
                </c:pt>
                <c:pt idx="3">
                  <c:v>0.52546269836462711</c:v>
                </c:pt>
                <c:pt idx="4">
                  <c:v>-0.3421648449758985</c:v>
                </c:pt>
                <c:pt idx="5">
                  <c:v>1.9062211311079045</c:v>
                </c:pt>
                <c:pt idx="6">
                  <c:v>2.1879957170394242</c:v>
                </c:pt>
                <c:pt idx="7">
                  <c:v>2.3247587512478085</c:v>
                </c:pt>
                <c:pt idx="8">
                  <c:v>3.9600788740004389</c:v>
                </c:pt>
                <c:pt idx="9">
                  <c:v>2.6210422234495092</c:v>
                </c:pt>
                <c:pt idx="10">
                  <c:v>0.9305573734413719</c:v>
                </c:pt>
                <c:pt idx="11">
                  <c:v>-0.23995980484711676</c:v>
                </c:pt>
                <c:pt idx="12">
                  <c:v>-1.3239184023091286</c:v>
                </c:pt>
                <c:pt idx="13">
                  <c:v>1.5180889757700058</c:v>
                </c:pt>
                <c:pt idx="14">
                  <c:v>1.0028748961692071</c:v>
                </c:pt>
                <c:pt idx="15">
                  <c:v>3.4793233919936202</c:v>
                </c:pt>
                <c:pt idx="16">
                  <c:v>2.0998754640826913</c:v>
                </c:pt>
                <c:pt idx="17">
                  <c:v>3.0500403998815324</c:v>
                </c:pt>
                <c:pt idx="18">
                  <c:v>0.18342665523740465</c:v>
                </c:pt>
                <c:pt idx="19">
                  <c:v>3.6200106209734821</c:v>
                </c:pt>
                <c:pt idx="20">
                  <c:v>3.7746938904400431</c:v>
                </c:pt>
                <c:pt idx="21">
                  <c:v>1.0105885099008582</c:v>
                </c:pt>
                <c:pt idx="22">
                  <c:v>2.8433522282522885</c:v>
                </c:pt>
                <c:pt idx="23">
                  <c:v>3.0027157897318753</c:v>
                </c:pt>
                <c:pt idx="24">
                  <c:v>2.3154452295241832</c:v>
                </c:pt>
                <c:pt idx="25">
                  <c:v>5.4643708386686232</c:v>
                </c:pt>
                <c:pt idx="26">
                  <c:v>3.324381592352736</c:v>
                </c:pt>
                <c:pt idx="27">
                  <c:v>5.5066451554427935</c:v>
                </c:pt>
                <c:pt idx="28">
                  <c:v>2.6684830221995099</c:v>
                </c:pt>
                <c:pt idx="29">
                  <c:v>7.5772689632021093</c:v>
                </c:pt>
                <c:pt idx="30">
                  <c:v>10.113630754659779</c:v>
                </c:pt>
                <c:pt idx="31">
                  <c:v>8.8860914050075301</c:v>
                </c:pt>
                <c:pt idx="32">
                  <c:v>11.359267156741597</c:v>
                </c:pt>
                <c:pt idx="33">
                  <c:v>11.560967249226902</c:v>
                </c:pt>
                <c:pt idx="34">
                  <c:v>6.9180931429734809</c:v>
                </c:pt>
                <c:pt idx="35">
                  <c:v>3.8707683383701808</c:v>
                </c:pt>
                <c:pt idx="36">
                  <c:v>2.7259209225785543</c:v>
                </c:pt>
                <c:pt idx="37">
                  <c:v>2.4769189652484105</c:v>
                </c:pt>
                <c:pt idx="38">
                  <c:v>1.1466109410610095</c:v>
                </c:pt>
                <c:pt idx="39">
                  <c:v>4.6213421514634083</c:v>
                </c:pt>
                <c:pt idx="40">
                  <c:v>3.2116707272585128</c:v>
                </c:pt>
                <c:pt idx="41">
                  <c:v>5.2202709948729282</c:v>
                </c:pt>
                <c:pt idx="42">
                  <c:v>3.8307532101742208</c:v>
                </c:pt>
                <c:pt idx="43">
                  <c:v>1.3326885516947238</c:v>
                </c:pt>
                <c:pt idx="44">
                  <c:v>3.3812449082841876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192F-4357-A8D9-921A419D164D}"/>
            </c:ext>
          </c:extLst>
        </c:ser>
        <c:ser>
          <c:idx val="3"/>
          <c:order val="3"/>
          <c:tx>
            <c:strRef>
              <c:f>'Backtest Stratégie 2'!$AI$5</c:f>
              <c:strCache>
                <c:ptCount val="1"/>
                <c:pt idx="0">
                  <c:v>P&amp;L Sensi cumulé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'Backtest Stratégie 2'!$A$6:$A$50</c:f>
              <c:numCache>
                <c:formatCode>m/d/yyyy</c:formatCode>
                <c:ptCount val="45"/>
                <c:pt idx="0">
                  <c:v>39598</c:v>
                </c:pt>
                <c:pt idx="1">
                  <c:v>39601</c:v>
                </c:pt>
                <c:pt idx="2">
                  <c:v>39602</c:v>
                </c:pt>
                <c:pt idx="3">
                  <c:v>39603</c:v>
                </c:pt>
                <c:pt idx="4">
                  <c:v>39604</c:v>
                </c:pt>
                <c:pt idx="5">
                  <c:v>39605</c:v>
                </c:pt>
                <c:pt idx="6">
                  <c:v>39608</c:v>
                </c:pt>
                <c:pt idx="7">
                  <c:v>39609</c:v>
                </c:pt>
                <c:pt idx="8">
                  <c:v>39610</c:v>
                </c:pt>
                <c:pt idx="9">
                  <c:v>39611</c:v>
                </c:pt>
                <c:pt idx="10">
                  <c:v>39612</c:v>
                </c:pt>
                <c:pt idx="11">
                  <c:v>39615</c:v>
                </c:pt>
                <c:pt idx="12">
                  <c:v>39616</c:v>
                </c:pt>
                <c:pt idx="13">
                  <c:v>39617</c:v>
                </c:pt>
                <c:pt idx="14">
                  <c:v>39618</c:v>
                </c:pt>
                <c:pt idx="15">
                  <c:v>39619</c:v>
                </c:pt>
                <c:pt idx="16">
                  <c:v>39622</c:v>
                </c:pt>
                <c:pt idx="17">
                  <c:v>39623</c:v>
                </c:pt>
                <c:pt idx="18">
                  <c:v>39624</c:v>
                </c:pt>
                <c:pt idx="19">
                  <c:v>39625</c:v>
                </c:pt>
                <c:pt idx="20">
                  <c:v>39626</c:v>
                </c:pt>
                <c:pt idx="21">
                  <c:v>39629</c:v>
                </c:pt>
                <c:pt idx="22">
                  <c:v>39630</c:v>
                </c:pt>
                <c:pt idx="23">
                  <c:v>39631</c:v>
                </c:pt>
                <c:pt idx="24">
                  <c:v>39632</c:v>
                </c:pt>
                <c:pt idx="25">
                  <c:v>39633</c:v>
                </c:pt>
                <c:pt idx="26">
                  <c:v>39636</c:v>
                </c:pt>
                <c:pt idx="27">
                  <c:v>39637</c:v>
                </c:pt>
                <c:pt idx="28">
                  <c:v>39638</c:v>
                </c:pt>
                <c:pt idx="29">
                  <c:v>39639</c:v>
                </c:pt>
                <c:pt idx="30">
                  <c:v>39640</c:v>
                </c:pt>
                <c:pt idx="31">
                  <c:v>39643</c:v>
                </c:pt>
                <c:pt idx="32">
                  <c:v>39644</c:v>
                </c:pt>
                <c:pt idx="33">
                  <c:v>39645</c:v>
                </c:pt>
                <c:pt idx="34">
                  <c:v>39646</c:v>
                </c:pt>
                <c:pt idx="35">
                  <c:v>39647</c:v>
                </c:pt>
                <c:pt idx="36">
                  <c:v>39650</c:v>
                </c:pt>
                <c:pt idx="37">
                  <c:v>39651</c:v>
                </c:pt>
                <c:pt idx="38">
                  <c:v>39652</c:v>
                </c:pt>
                <c:pt idx="39">
                  <c:v>39653</c:v>
                </c:pt>
                <c:pt idx="40">
                  <c:v>39654</c:v>
                </c:pt>
                <c:pt idx="41">
                  <c:v>39657</c:v>
                </c:pt>
                <c:pt idx="42">
                  <c:v>39658</c:v>
                </c:pt>
                <c:pt idx="43">
                  <c:v>39659</c:v>
                </c:pt>
                <c:pt idx="44">
                  <c:v>39660</c:v>
                </c:pt>
              </c:numCache>
            </c:numRef>
          </c:cat>
          <c:val>
            <c:numRef>
              <c:f>'Backtest Stratégie 2'!$AI$6:$AI$50</c:f>
              <c:numCache>
                <c:formatCode>General</c:formatCode>
                <c:ptCount val="45"/>
                <c:pt idx="1">
                  <c:v>-50.047147608935745</c:v>
                </c:pt>
                <c:pt idx="2">
                  <c:v>-36.124708866972426</c:v>
                </c:pt>
                <c:pt idx="3">
                  <c:v>-70.145162545970678</c:v>
                </c:pt>
                <c:pt idx="4">
                  <c:v>-85.475506255512443</c:v>
                </c:pt>
                <c:pt idx="5">
                  <c:v>-159.40211257274294</c:v>
                </c:pt>
                <c:pt idx="6">
                  <c:v>-158.59626641370386</c:v>
                </c:pt>
                <c:pt idx="7">
                  <c:v>-178.42701632371791</c:v>
                </c:pt>
                <c:pt idx="8">
                  <c:v>-234.06684766137198</c:v>
                </c:pt>
                <c:pt idx="9">
                  <c:v>-206.37324133689893</c:v>
                </c:pt>
                <c:pt idx="10">
                  <c:v>-190.48184158893844</c:v>
                </c:pt>
                <c:pt idx="11">
                  <c:v>-217.77282093016908</c:v>
                </c:pt>
                <c:pt idx="12">
                  <c:v>-199.01122471483484</c:v>
                </c:pt>
                <c:pt idx="13">
                  <c:v>-237.61803005133643</c:v>
                </c:pt>
                <c:pt idx="14">
                  <c:v>-256.58012992180755</c:v>
                </c:pt>
                <c:pt idx="15">
                  <c:v>-305.93574726614361</c:v>
                </c:pt>
                <c:pt idx="16">
                  <c:v>-306.63954777476971</c:v>
                </c:pt>
                <c:pt idx="17">
                  <c:v>-325.23111072078058</c:v>
                </c:pt>
                <c:pt idx="18">
                  <c:v>-280.09577248478365</c:v>
                </c:pt>
                <c:pt idx="19">
                  <c:v>-356.96611868498286</c:v>
                </c:pt>
                <c:pt idx="20">
                  <c:v>-378.93934712997014</c:v>
                </c:pt>
                <c:pt idx="21">
                  <c:v>-371.00100554346704</c:v>
                </c:pt>
                <c:pt idx="22">
                  <c:v>-419.60634725664988</c:v>
                </c:pt>
                <c:pt idx="23">
                  <c:v>-423.05320050550904</c:v>
                </c:pt>
                <c:pt idx="24">
                  <c:v>-388.04635099656281</c:v>
                </c:pt>
                <c:pt idx="25">
                  <c:v>-431.65285425484689</c:v>
                </c:pt>
                <c:pt idx="26">
                  <c:v>-385.29336568530704</c:v>
                </c:pt>
                <c:pt idx="27">
                  <c:v>-420.95900612157209</c:v>
                </c:pt>
                <c:pt idx="28">
                  <c:v>-377.52016115179202</c:v>
                </c:pt>
                <c:pt idx="29">
                  <c:v>-422.52474760801209</c:v>
                </c:pt>
                <c:pt idx="30">
                  <c:v>-491.27028325568301</c:v>
                </c:pt>
                <c:pt idx="31">
                  <c:v>-476.88388708775079</c:v>
                </c:pt>
                <c:pt idx="32">
                  <c:v>-535.51581519202364</c:v>
                </c:pt>
                <c:pt idx="33">
                  <c:v>-508.58706477105136</c:v>
                </c:pt>
                <c:pt idx="34">
                  <c:v>-445.24184678028365</c:v>
                </c:pt>
                <c:pt idx="35">
                  <c:v>-393.52523390613396</c:v>
                </c:pt>
                <c:pt idx="36">
                  <c:v>-384.18908820088546</c:v>
                </c:pt>
                <c:pt idx="37">
                  <c:v>-390.84577586075329</c:v>
                </c:pt>
                <c:pt idx="38">
                  <c:v>-340.72728399527034</c:v>
                </c:pt>
                <c:pt idx="39">
                  <c:v>-364.88453442030021</c:v>
                </c:pt>
                <c:pt idx="40">
                  <c:v>-369.1726405288203</c:v>
                </c:pt>
                <c:pt idx="41">
                  <c:v>-398.66457066279054</c:v>
                </c:pt>
                <c:pt idx="42">
                  <c:v>-390.45554793034938</c:v>
                </c:pt>
                <c:pt idx="43">
                  <c:v>-357.36501904291191</c:v>
                </c:pt>
                <c:pt idx="44">
                  <c:v>-354.88674329584558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192F-4357-A8D9-921A419D16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614704271"/>
        <c:axId val="1614707631"/>
      </c:lineChart>
      <c:dateAx>
        <c:axId val="1614704271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614707631"/>
        <c:crosses val="autoZero"/>
        <c:auto val="1"/>
        <c:lblOffset val="100"/>
        <c:baseTimeUnit val="days"/>
      </c:dateAx>
      <c:valAx>
        <c:axId val="161470763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61470427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0.xml"/><Relationship Id="rId1" Type="http://schemas.openxmlformats.org/officeDocument/2006/relationships/chart" Target="../charts/chart9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342900</xdr:colOff>
      <xdr:row>50</xdr:row>
      <xdr:rowOff>133350</xdr:rowOff>
    </xdr:from>
    <xdr:to>
      <xdr:col>10</xdr:col>
      <xdr:colOff>129540</xdr:colOff>
      <xdr:row>65</xdr:row>
      <xdr:rowOff>133350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7D7212B0-CC9C-B15C-B7C7-F02C76E8C6C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10</xdr:col>
      <xdr:colOff>480060</xdr:colOff>
      <xdr:row>50</xdr:row>
      <xdr:rowOff>171450</xdr:rowOff>
    </xdr:from>
    <xdr:to>
      <xdr:col>15</xdr:col>
      <xdr:colOff>388620</xdr:colOff>
      <xdr:row>65</xdr:row>
      <xdr:rowOff>171450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id="{743794E2-F02D-422E-05F5-14CC7144602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15</xdr:col>
      <xdr:colOff>579120</xdr:colOff>
      <xdr:row>50</xdr:row>
      <xdr:rowOff>163830</xdr:rowOff>
    </xdr:from>
    <xdr:to>
      <xdr:col>21</xdr:col>
      <xdr:colOff>30480</xdr:colOff>
      <xdr:row>65</xdr:row>
      <xdr:rowOff>163830</xdr:rowOff>
    </xdr:to>
    <xdr:graphicFrame macro="">
      <xdr:nvGraphicFramePr>
        <xdr:cNvPr id="5" name="Graphique 4">
          <a:extLst>
            <a:ext uri="{FF2B5EF4-FFF2-40B4-BE49-F238E27FC236}">
              <a16:creationId xmlns:a16="http://schemas.microsoft.com/office/drawing/2014/main" id="{EF6985AF-3216-4F78-4A90-014402A7F0F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4</xdr:col>
      <xdr:colOff>441960</xdr:colOff>
      <xdr:row>67</xdr:row>
      <xdr:rowOff>11430</xdr:rowOff>
    </xdr:from>
    <xdr:to>
      <xdr:col>10</xdr:col>
      <xdr:colOff>228600</xdr:colOff>
      <xdr:row>82</xdr:row>
      <xdr:rowOff>11430</xdr:rowOff>
    </xdr:to>
    <xdr:graphicFrame macro="">
      <xdr:nvGraphicFramePr>
        <xdr:cNvPr id="6" name="Graphique 5">
          <a:extLst>
            <a:ext uri="{FF2B5EF4-FFF2-40B4-BE49-F238E27FC236}">
              <a16:creationId xmlns:a16="http://schemas.microsoft.com/office/drawing/2014/main" id="{599148E2-98CC-3928-BA93-100DD2576C3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10</xdr:col>
      <xdr:colOff>426720</xdr:colOff>
      <xdr:row>66</xdr:row>
      <xdr:rowOff>163830</xdr:rowOff>
    </xdr:from>
    <xdr:to>
      <xdr:col>15</xdr:col>
      <xdr:colOff>335280</xdr:colOff>
      <xdr:row>81</xdr:row>
      <xdr:rowOff>163830</xdr:rowOff>
    </xdr:to>
    <xdr:graphicFrame macro="">
      <xdr:nvGraphicFramePr>
        <xdr:cNvPr id="7" name="Graphique 6">
          <a:extLst>
            <a:ext uri="{FF2B5EF4-FFF2-40B4-BE49-F238E27FC236}">
              <a16:creationId xmlns:a16="http://schemas.microsoft.com/office/drawing/2014/main" id="{74DB598A-550C-5BFD-AD5B-8B1208C0F0D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15</xdr:col>
      <xdr:colOff>533400</xdr:colOff>
      <xdr:row>67</xdr:row>
      <xdr:rowOff>19050</xdr:rowOff>
    </xdr:from>
    <xdr:to>
      <xdr:col>20</xdr:col>
      <xdr:colOff>777240</xdr:colOff>
      <xdr:row>82</xdr:row>
      <xdr:rowOff>19050</xdr:rowOff>
    </xdr:to>
    <xdr:graphicFrame macro="">
      <xdr:nvGraphicFramePr>
        <xdr:cNvPr id="8" name="Graphique 7">
          <a:extLst>
            <a:ext uri="{FF2B5EF4-FFF2-40B4-BE49-F238E27FC236}">
              <a16:creationId xmlns:a16="http://schemas.microsoft.com/office/drawing/2014/main" id="{33E08366-05EB-AB69-B175-A79B9249599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21</xdr:col>
      <xdr:colOff>342900</xdr:colOff>
      <xdr:row>51</xdr:row>
      <xdr:rowOff>19050</xdr:rowOff>
    </xdr:from>
    <xdr:to>
      <xdr:col>25</xdr:col>
      <xdr:colOff>830580</xdr:colOff>
      <xdr:row>66</xdr:row>
      <xdr:rowOff>19050</xdr:rowOff>
    </xdr:to>
    <xdr:graphicFrame macro="">
      <xdr:nvGraphicFramePr>
        <xdr:cNvPr id="9" name="Graphique 8">
          <a:extLst>
            <a:ext uri="{FF2B5EF4-FFF2-40B4-BE49-F238E27FC236}">
              <a16:creationId xmlns:a16="http://schemas.microsoft.com/office/drawing/2014/main" id="{6638E910-72ED-4E71-CF8F-5B5123F0BF5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21</xdr:col>
      <xdr:colOff>426720</xdr:colOff>
      <xdr:row>67</xdr:row>
      <xdr:rowOff>41910</xdr:rowOff>
    </xdr:from>
    <xdr:to>
      <xdr:col>25</xdr:col>
      <xdr:colOff>914400</xdr:colOff>
      <xdr:row>82</xdr:row>
      <xdr:rowOff>41910</xdr:rowOff>
    </xdr:to>
    <xdr:graphicFrame macro="">
      <xdr:nvGraphicFramePr>
        <xdr:cNvPr id="10" name="Graphique 9">
          <a:extLst>
            <a:ext uri="{FF2B5EF4-FFF2-40B4-BE49-F238E27FC236}">
              <a16:creationId xmlns:a16="http://schemas.microsoft.com/office/drawing/2014/main" id="{04A3D87E-6A22-012A-29FB-2B92440C401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21</xdr:col>
      <xdr:colOff>708660</xdr:colOff>
      <xdr:row>53</xdr:row>
      <xdr:rowOff>125730</xdr:rowOff>
    </xdr:from>
    <xdr:to>
      <xdr:col>26</xdr:col>
      <xdr:colOff>1074420</xdr:colOff>
      <xdr:row>68</xdr:row>
      <xdr:rowOff>125730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8DBC570B-7330-59BE-F4AE-E2057E1DA46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28</xdr:col>
      <xdr:colOff>68580</xdr:colOff>
      <xdr:row>53</xdr:row>
      <xdr:rowOff>179070</xdr:rowOff>
    </xdr:from>
    <xdr:to>
      <xdr:col>32</xdr:col>
      <xdr:colOff>800100</xdr:colOff>
      <xdr:row>68</xdr:row>
      <xdr:rowOff>179070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id="{F594E784-3A6F-F138-E9CD-1DDE2DDA123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hème Office 2013 –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3FF312-973C-483A-B302-19BEC4206B56}">
  <sheetPr codeName="Feuil1"/>
  <dimension ref="A1:E50"/>
  <sheetViews>
    <sheetView workbookViewId="0">
      <selection activeCell="G51" sqref="G51"/>
    </sheetView>
  </sheetViews>
  <sheetFormatPr baseColWidth="10" defaultRowHeight="14.4" x14ac:dyDescent="0.3"/>
  <cols>
    <col min="1" max="1" width="10.6640625" bestFit="1" customWidth="1"/>
    <col min="2" max="2" width="12.6640625" bestFit="1" customWidth="1"/>
    <col min="3" max="3" width="9.33203125" bestFit="1" customWidth="1"/>
    <col min="4" max="4" width="11" bestFit="1" customWidth="1"/>
    <col min="5" max="5" width="10.88671875" bestFit="1" customWidth="1"/>
  </cols>
  <sheetData>
    <row r="1" spans="1:5" s="1" customFormat="1" x14ac:dyDescent="0.3">
      <c r="D1" s="2" t="s">
        <v>0</v>
      </c>
      <c r="E1" s="2" t="s">
        <v>0</v>
      </c>
    </row>
    <row r="2" spans="1:5" x14ac:dyDescent="0.3">
      <c r="D2" s="3">
        <v>39983</v>
      </c>
      <c r="E2" s="3">
        <f>D2</f>
        <v>39983</v>
      </c>
    </row>
    <row r="3" spans="1:5" s="1" customFormat="1" x14ac:dyDescent="0.3">
      <c r="D3" s="4" t="s">
        <v>1</v>
      </c>
      <c r="E3" s="4" t="s">
        <v>1</v>
      </c>
    </row>
    <row r="4" spans="1:5" x14ac:dyDescent="0.3">
      <c r="A4" s="3"/>
      <c r="D4" s="5">
        <v>3400</v>
      </c>
      <c r="E4" s="5">
        <v>3400</v>
      </c>
    </row>
    <row r="5" spans="1:5" s="6" customFormat="1" ht="27.75" customHeight="1" x14ac:dyDescent="0.3">
      <c r="A5" s="2" t="s">
        <v>2</v>
      </c>
      <c r="B5" s="6" t="s">
        <v>3</v>
      </c>
      <c r="C5" s="6" t="s">
        <v>4</v>
      </c>
      <c r="D5" s="6" t="s">
        <v>5</v>
      </c>
      <c r="E5" s="6" t="s">
        <v>6</v>
      </c>
    </row>
    <row r="6" spans="1:5" x14ac:dyDescent="0.3">
      <c r="A6" s="3">
        <v>39598</v>
      </c>
      <c r="B6">
        <v>3777.85</v>
      </c>
      <c r="C6" s="7">
        <v>5.0970000000000001E-2</v>
      </c>
      <c r="D6" s="5">
        <v>184.5</v>
      </c>
      <c r="E6" s="8">
        <v>0.28252737577587594</v>
      </c>
    </row>
    <row r="7" spans="1:5" x14ac:dyDescent="0.3">
      <c r="A7" s="3">
        <v>39601</v>
      </c>
      <c r="B7">
        <v>3720.5</v>
      </c>
      <c r="C7" s="7">
        <v>5.0970000000000001E-2</v>
      </c>
      <c r="D7" s="5">
        <v>202.3</v>
      </c>
      <c r="E7" s="8">
        <v>0.28592579226362724</v>
      </c>
    </row>
    <row r="8" spans="1:5" x14ac:dyDescent="0.3">
      <c r="A8" s="3">
        <v>39602</v>
      </c>
      <c r="B8">
        <v>3737.34</v>
      </c>
      <c r="C8" s="7">
        <v>5.0930000000000003E-2</v>
      </c>
      <c r="D8" s="5">
        <v>195.2</v>
      </c>
      <c r="E8" s="8">
        <v>0.28391453963524355</v>
      </c>
    </row>
    <row r="9" spans="1:5" x14ac:dyDescent="0.3">
      <c r="A9" s="3">
        <v>39603</v>
      </c>
      <c r="B9">
        <v>3699.05</v>
      </c>
      <c r="C9" s="7">
        <v>5.1070000000000004E-2</v>
      </c>
      <c r="D9" s="5">
        <v>205.3</v>
      </c>
      <c r="E9" s="8">
        <v>0.28434341776950983</v>
      </c>
    </row>
    <row r="10" spans="1:5" x14ac:dyDescent="0.3">
      <c r="A10" s="3">
        <v>39604</v>
      </c>
      <c r="B10">
        <v>3682.83</v>
      </c>
      <c r="C10" s="7">
        <v>5.1249999999999997E-2</v>
      </c>
      <c r="D10" s="5">
        <v>205.3</v>
      </c>
      <c r="E10" s="8">
        <v>0.28124324441274101</v>
      </c>
    </row>
    <row r="11" spans="1:5" x14ac:dyDescent="0.3">
      <c r="A11" s="3">
        <v>39605</v>
      </c>
      <c r="B11">
        <v>3596.7</v>
      </c>
      <c r="C11" s="7">
        <v>5.4179999999999999E-2</v>
      </c>
      <c r="D11" s="5">
        <v>232.9</v>
      </c>
      <c r="E11" s="8">
        <v>0.28695843605412363</v>
      </c>
    </row>
    <row r="12" spans="1:5" x14ac:dyDescent="0.3">
      <c r="A12" s="3">
        <v>39608</v>
      </c>
      <c r="B12">
        <v>3597.34</v>
      </c>
      <c r="C12" s="7">
        <v>5.4290000000000005E-2</v>
      </c>
      <c r="D12" s="5">
        <v>235.4</v>
      </c>
      <c r="E12" s="8">
        <v>0.28988914401014149</v>
      </c>
    </row>
    <row r="13" spans="1:5" x14ac:dyDescent="0.3">
      <c r="A13" s="3">
        <v>39609</v>
      </c>
      <c r="B13">
        <v>3574.7</v>
      </c>
      <c r="C13" s="7">
        <v>5.4320000000000007E-2</v>
      </c>
      <c r="D13" s="5">
        <v>241.5</v>
      </c>
      <c r="E13" s="8">
        <v>0.28956738505857743</v>
      </c>
    </row>
    <row r="14" spans="1:5" x14ac:dyDescent="0.3">
      <c r="A14" s="3">
        <v>39610</v>
      </c>
      <c r="B14">
        <v>3509.39</v>
      </c>
      <c r="C14" s="7">
        <v>5.4169999999999996E-2</v>
      </c>
      <c r="D14" s="5">
        <v>263</v>
      </c>
      <c r="E14" s="8">
        <v>0.29024030261888506</v>
      </c>
    </row>
    <row r="15" spans="1:5" x14ac:dyDescent="0.3">
      <c r="A15" s="3">
        <v>39611</v>
      </c>
      <c r="B15">
        <v>3542.59</v>
      </c>
      <c r="C15" s="7">
        <v>5.425E-2</v>
      </c>
      <c r="D15" s="5">
        <v>246.7</v>
      </c>
      <c r="E15" s="8">
        <v>0.28617916430392115</v>
      </c>
    </row>
    <row r="16" spans="1:5" x14ac:dyDescent="0.3">
      <c r="A16" s="3">
        <v>39612</v>
      </c>
      <c r="B16">
        <v>3562.67</v>
      </c>
      <c r="C16" s="7">
        <v>5.4390000000000001E-2</v>
      </c>
      <c r="D16" s="5">
        <v>234.2</v>
      </c>
      <c r="E16" s="8">
        <v>0.28164210494529829</v>
      </c>
    </row>
    <row r="17" spans="1:5" x14ac:dyDescent="0.3">
      <c r="A17" s="3">
        <v>39615</v>
      </c>
      <c r="B17">
        <v>3532.83</v>
      </c>
      <c r="C17" s="7">
        <v>5.4359999999999999E-2</v>
      </c>
      <c r="D17" s="5">
        <v>238.4</v>
      </c>
      <c r="E17" s="8">
        <v>0.27820461055570883</v>
      </c>
    </row>
    <row r="18" spans="1:5" x14ac:dyDescent="0.3">
      <c r="A18" s="3">
        <v>39616</v>
      </c>
      <c r="B18">
        <v>3555.58</v>
      </c>
      <c r="C18" s="7">
        <v>5.4339999999999999E-2</v>
      </c>
      <c r="D18" s="5">
        <v>227.4</v>
      </c>
      <c r="E18" s="8">
        <v>0.27533666864205836</v>
      </c>
    </row>
    <row r="19" spans="1:5" x14ac:dyDescent="0.3">
      <c r="A19" s="3">
        <v>39617</v>
      </c>
      <c r="B19">
        <v>3507.97</v>
      </c>
      <c r="C19" s="7">
        <v>5.4269999999999999E-2</v>
      </c>
      <c r="D19" s="5">
        <v>249.2</v>
      </c>
      <c r="E19" s="8">
        <v>0.28072798384990866</v>
      </c>
    </row>
    <row r="20" spans="1:5" x14ac:dyDescent="0.3">
      <c r="A20" s="3">
        <v>39618</v>
      </c>
      <c r="B20">
        <v>3486.71</v>
      </c>
      <c r="C20" s="7">
        <v>5.4299999999999994E-2</v>
      </c>
      <c r="D20" s="5">
        <v>252.2</v>
      </c>
      <c r="E20" s="8">
        <v>0.27778767332119414</v>
      </c>
    </row>
    <row r="21" spans="1:5" x14ac:dyDescent="0.3">
      <c r="A21" s="3">
        <v>39619</v>
      </c>
      <c r="B21">
        <v>3426.58</v>
      </c>
      <c r="C21" s="7">
        <v>5.4290000000000005E-2</v>
      </c>
      <c r="D21" s="5">
        <v>279.5</v>
      </c>
      <c r="E21" s="8">
        <v>0.28301919455971958</v>
      </c>
    </row>
    <row r="22" spans="1:5" x14ac:dyDescent="0.3">
      <c r="A22" s="3">
        <v>39622</v>
      </c>
      <c r="B22">
        <v>3427.33</v>
      </c>
      <c r="C22" s="7">
        <v>5.4189999999999995E-2</v>
      </c>
      <c r="D22" s="5">
        <v>273.60000000000002</v>
      </c>
      <c r="E22" s="8">
        <v>0.27912836961771997</v>
      </c>
    </row>
    <row r="23" spans="1:5" x14ac:dyDescent="0.3">
      <c r="A23" s="3">
        <v>39623</v>
      </c>
      <c r="B23">
        <v>3404.52</v>
      </c>
      <c r="C23" s="7">
        <v>5.4219999999999997E-2</v>
      </c>
      <c r="D23" s="5">
        <v>283.10000000000002</v>
      </c>
      <c r="E23" s="8">
        <v>0.28031773636058843</v>
      </c>
    </row>
    <row r="24" spans="1:5" x14ac:dyDescent="0.3">
      <c r="A24" s="3">
        <v>39624</v>
      </c>
      <c r="B24">
        <v>3460.4</v>
      </c>
      <c r="C24" s="7">
        <v>5.4179999999999999E-2</v>
      </c>
      <c r="D24" s="5">
        <v>252.9</v>
      </c>
      <c r="E24" s="8">
        <v>0.27241304750401368</v>
      </c>
    </row>
    <row r="25" spans="1:5" x14ac:dyDescent="0.3">
      <c r="A25" s="3">
        <v>39625</v>
      </c>
      <c r="B25">
        <v>3366.35</v>
      </c>
      <c r="C25" s="7">
        <v>5.4080000000000003E-2</v>
      </c>
      <c r="D25" s="5">
        <v>294.8</v>
      </c>
      <c r="E25" s="8">
        <v>0.27847316710786052</v>
      </c>
    </row>
    <row r="26" spans="1:5" x14ac:dyDescent="0.3">
      <c r="A26" s="3">
        <v>39626</v>
      </c>
      <c r="B26">
        <v>3340.27</v>
      </c>
      <c r="C26" s="7">
        <v>5.382E-2</v>
      </c>
      <c r="D26" s="5">
        <v>303.10000000000002</v>
      </c>
      <c r="E26" s="8">
        <v>0.27688417829122614</v>
      </c>
    </row>
    <row r="27" spans="1:5" x14ac:dyDescent="0.3">
      <c r="A27" s="3">
        <v>39629</v>
      </c>
      <c r="B27">
        <v>3352.81</v>
      </c>
      <c r="C27" s="7">
        <v>5.3899999999999997E-2</v>
      </c>
      <c r="D27" s="5">
        <v>289</v>
      </c>
      <c r="E27" s="8">
        <v>0.27035828565107317</v>
      </c>
    </row>
    <row r="28" spans="1:5" x14ac:dyDescent="0.3">
      <c r="A28" s="3">
        <v>39630</v>
      </c>
      <c r="B28">
        <v>3292.86</v>
      </c>
      <c r="C28" s="7">
        <v>5.4179999999999999E-2</v>
      </c>
      <c r="D28" s="5">
        <v>316.7</v>
      </c>
      <c r="E28" s="8">
        <v>0.27366172620370233</v>
      </c>
    </row>
    <row r="29" spans="1:5" x14ac:dyDescent="0.3">
      <c r="A29" s="3">
        <v>39631</v>
      </c>
      <c r="B29">
        <v>3288.52</v>
      </c>
      <c r="C29" s="7">
        <v>5.4169999999999996E-2</v>
      </c>
      <c r="D29" s="5">
        <v>318.7</v>
      </c>
      <c r="E29" s="8">
        <v>0.2739861442797355</v>
      </c>
    </row>
    <row r="30" spans="1:5" x14ac:dyDescent="0.3">
      <c r="A30" s="3">
        <v>39632</v>
      </c>
      <c r="B30">
        <v>3330.9</v>
      </c>
      <c r="C30" s="7">
        <v>5.4320000000000007E-2</v>
      </c>
      <c r="D30" s="5">
        <v>299.10000000000002</v>
      </c>
      <c r="E30" s="8">
        <v>0.27259481105569705</v>
      </c>
    </row>
    <row r="31" spans="1:5" x14ac:dyDescent="0.3">
      <c r="A31" s="3">
        <v>39633</v>
      </c>
      <c r="B31">
        <v>3275.2</v>
      </c>
      <c r="C31" s="7">
        <v>5.3949999999999998E-2</v>
      </c>
      <c r="D31" s="5">
        <v>330.3</v>
      </c>
      <c r="E31" s="8">
        <v>0.27883272302289186</v>
      </c>
    </row>
    <row r="32" spans="1:5" x14ac:dyDescent="0.3">
      <c r="A32" s="3">
        <v>39636</v>
      </c>
      <c r="B32">
        <v>3332.66</v>
      </c>
      <c r="C32" s="7">
        <v>5.3929999999999999E-2</v>
      </c>
      <c r="D32" s="5">
        <v>301</v>
      </c>
      <c r="E32" s="8">
        <v>0.27497824014516858</v>
      </c>
    </row>
    <row r="33" spans="1:5" x14ac:dyDescent="0.3">
      <c r="A33" s="3">
        <v>39637</v>
      </c>
      <c r="B33">
        <v>3287.6</v>
      </c>
      <c r="C33" s="7">
        <v>5.3789999999999998E-2</v>
      </c>
      <c r="D33" s="5">
        <v>325.5</v>
      </c>
      <c r="E33" s="8">
        <v>0.2797756864463532</v>
      </c>
    </row>
    <row r="34" spans="1:5" x14ac:dyDescent="0.3">
      <c r="A34" s="3">
        <v>39638</v>
      </c>
      <c r="B34">
        <v>3342.48</v>
      </c>
      <c r="C34" s="7">
        <v>5.3960000000000001E-2</v>
      </c>
      <c r="D34" s="5">
        <v>294.60000000000002</v>
      </c>
      <c r="E34" s="8">
        <v>0.27344667374392151</v>
      </c>
    </row>
    <row r="35" spans="1:5" x14ac:dyDescent="0.3">
      <c r="A35" s="3">
        <v>39639</v>
      </c>
      <c r="B35">
        <v>3283.01</v>
      </c>
      <c r="C35" s="7">
        <v>5.3840000000000006E-2</v>
      </c>
      <c r="D35" s="5">
        <v>331.3</v>
      </c>
      <c r="E35" s="8">
        <v>0.2833442136271645</v>
      </c>
    </row>
    <row r="36" spans="1:5" x14ac:dyDescent="0.3">
      <c r="A36" s="3">
        <v>39640</v>
      </c>
      <c r="B36">
        <v>3197.78</v>
      </c>
      <c r="C36" s="7">
        <v>5.3879999999999997E-2</v>
      </c>
      <c r="D36" s="5">
        <v>376.7</v>
      </c>
      <c r="E36" s="8">
        <v>0.28990486511893987</v>
      </c>
    </row>
    <row r="37" spans="1:5" x14ac:dyDescent="0.3">
      <c r="A37" s="3">
        <v>39643</v>
      </c>
      <c r="B37">
        <v>3216.24</v>
      </c>
      <c r="C37" s="7">
        <v>5.3840000000000006E-2</v>
      </c>
      <c r="D37" s="5">
        <v>362.3</v>
      </c>
      <c r="E37" s="8">
        <v>0.28559143898769124</v>
      </c>
    </row>
    <row r="38" spans="1:5" x14ac:dyDescent="0.3">
      <c r="A38" s="3">
        <v>39644</v>
      </c>
      <c r="B38">
        <v>3142.73</v>
      </c>
      <c r="C38" s="7">
        <v>5.3739999999999996E-2</v>
      </c>
      <c r="D38" s="5">
        <v>402.2</v>
      </c>
      <c r="E38" s="8">
        <v>0.2900868002745301</v>
      </c>
    </row>
    <row r="39" spans="1:5" x14ac:dyDescent="0.3">
      <c r="A39" s="3">
        <v>39645</v>
      </c>
      <c r="B39">
        <v>3174.76</v>
      </c>
      <c r="C39" s="7">
        <v>5.3689999999999995E-2</v>
      </c>
      <c r="D39" s="5">
        <v>385.3</v>
      </c>
      <c r="E39" s="8">
        <v>0.28890979680940609</v>
      </c>
    </row>
    <row r="40" spans="1:5" x14ac:dyDescent="0.3">
      <c r="A40" s="3">
        <v>39646</v>
      </c>
      <c r="B40">
        <v>3256.09</v>
      </c>
      <c r="C40" s="7">
        <v>5.3769999999999998E-2</v>
      </c>
      <c r="D40" s="5">
        <v>333.7</v>
      </c>
      <c r="E40" s="8">
        <v>0.27728817985828347</v>
      </c>
    </row>
    <row r="41" spans="1:5" x14ac:dyDescent="0.3">
      <c r="A41" s="3">
        <v>39647</v>
      </c>
      <c r="B41">
        <v>3321.53</v>
      </c>
      <c r="C41" s="7">
        <v>5.3749999999999999E-2</v>
      </c>
      <c r="D41" s="5">
        <v>300.7</v>
      </c>
      <c r="E41" s="8">
        <v>0.27317240542789128</v>
      </c>
    </row>
    <row r="42" spans="1:5" x14ac:dyDescent="0.3">
      <c r="A42" s="3">
        <v>39650</v>
      </c>
      <c r="B42">
        <v>3333.92</v>
      </c>
      <c r="C42" s="7">
        <v>5.4130000000000005E-2</v>
      </c>
      <c r="D42" s="5">
        <v>292.5</v>
      </c>
      <c r="E42" s="8">
        <v>0.27170292148967923</v>
      </c>
    </row>
    <row r="43" spans="1:5" x14ac:dyDescent="0.3">
      <c r="A43" s="3">
        <v>39651</v>
      </c>
      <c r="B43">
        <v>3326.24</v>
      </c>
      <c r="C43" s="7">
        <v>5.4179999999999999E-2</v>
      </c>
      <c r="D43" s="5">
        <v>292.39999999999998</v>
      </c>
      <c r="E43" s="8">
        <v>0.26936521678320219</v>
      </c>
    </row>
    <row r="44" spans="1:5" x14ac:dyDescent="0.3">
      <c r="A44" s="3">
        <v>39652</v>
      </c>
      <c r="B44">
        <v>3387.5</v>
      </c>
      <c r="C44" s="7">
        <v>5.4320000000000007E-2</v>
      </c>
      <c r="D44" s="5">
        <v>264.39999999999998</v>
      </c>
      <c r="E44" s="8">
        <v>0.2665683292697395</v>
      </c>
    </row>
    <row r="45" spans="1:5" x14ac:dyDescent="0.3">
      <c r="A45" s="3">
        <v>39653</v>
      </c>
      <c r="B45">
        <v>3354.58</v>
      </c>
      <c r="C45" s="7">
        <v>5.4089999999999999E-2</v>
      </c>
      <c r="D45" s="5">
        <v>286.39999999999998</v>
      </c>
      <c r="E45" s="8">
        <v>0.27404771696447339</v>
      </c>
    </row>
    <row r="46" spans="1:5" x14ac:dyDescent="0.3">
      <c r="A46" s="3">
        <v>39654</v>
      </c>
      <c r="B46">
        <v>3351.13</v>
      </c>
      <c r="C46" s="7">
        <v>5.3870000000000001E-2</v>
      </c>
      <c r="D46" s="5">
        <v>284.89999999999998</v>
      </c>
      <c r="E46" s="8">
        <v>0.27167125614297566</v>
      </c>
    </row>
    <row r="47" spans="1:5" x14ac:dyDescent="0.3">
      <c r="A47" s="3">
        <v>39657</v>
      </c>
      <c r="B47">
        <v>3313.41</v>
      </c>
      <c r="C47" s="7">
        <v>5.389E-2</v>
      </c>
      <c r="D47" s="5">
        <v>303.2</v>
      </c>
      <c r="E47" s="8">
        <v>0.27479790729135362</v>
      </c>
    </row>
    <row r="48" spans="1:5" x14ac:dyDescent="0.3">
      <c r="A48" s="3">
        <v>39658</v>
      </c>
      <c r="B48">
        <v>3324.86</v>
      </c>
      <c r="C48" s="7">
        <v>5.3800000000000001E-2</v>
      </c>
      <c r="D48" s="5">
        <v>295.10000000000002</v>
      </c>
      <c r="E48" s="8">
        <v>0.27213612757606603</v>
      </c>
    </row>
    <row r="49" spans="1:5" x14ac:dyDescent="0.3">
      <c r="A49" s="3">
        <v>39659</v>
      </c>
      <c r="B49">
        <v>3367.33</v>
      </c>
      <c r="C49" s="7">
        <v>5.3689999999999995E-2</v>
      </c>
      <c r="D49" s="5">
        <v>272</v>
      </c>
      <c r="E49" s="8">
        <v>0.26722691247562119</v>
      </c>
    </row>
    <row r="50" spans="1:5" x14ac:dyDescent="0.3">
      <c r="A50" s="3">
        <v>39660</v>
      </c>
      <c r="B50">
        <v>3367.82</v>
      </c>
      <c r="C50" s="7">
        <v>5.3659999999999999E-2</v>
      </c>
      <c r="D50" s="5">
        <v>276.39999999999998</v>
      </c>
      <c r="E50" s="8">
        <v>0.27118796388740918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9CEBE5-3312-4EB9-A591-DDB82D8DF521}">
  <sheetPr codeName="Feuil2"/>
  <dimension ref="A1:G50"/>
  <sheetViews>
    <sheetView workbookViewId="0">
      <selection activeCell="J45" sqref="J45"/>
    </sheetView>
  </sheetViews>
  <sheetFormatPr baseColWidth="10" defaultRowHeight="14.4" x14ac:dyDescent="0.3"/>
  <cols>
    <col min="1" max="1" width="10.6640625" bestFit="1" customWidth="1"/>
    <col min="2" max="2" width="12.6640625" bestFit="1" customWidth="1"/>
    <col min="3" max="3" width="9.33203125" bestFit="1" customWidth="1"/>
    <col min="4" max="5" width="11" bestFit="1" customWidth="1"/>
    <col min="6" max="7" width="10.88671875" bestFit="1" customWidth="1"/>
  </cols>
  <sheetData>
    <row r="1" spans="1:7" s="1" customFormat="1" x14ac:dyDescent="0.3">
      <c r="D1" s="2" t="s">
        <v>0</v>
      </c>
      <c r="E1" s="2" t="s">
        <v>0</v>
      </c>
      <c r="F1" s="2" t="s">
        <v>0</v>
      </c>
      <c r="G1" s="2" t="s">
        <v>0</v>
      </c>
    </row>
    <row r="2" spans="1:7" x14ac:dyDescent="0.3">
      <c r="D2" s="3">
        <v>39983</v>
      </c>
      <c r="E2" s="3">
        <v>39983</v>
      </c>
      <c r="F2" s="3">
        <f>D2</f>
        <v>39983</v>
      </c>
      <c r="G2" s="3">
        <f>E2</f>
        <v>39983</v>
      </c>
    </row>
    <row r="3" spans="1:7" s="1" customFormat="1" x14ac:dyDescent="0.3">
      <c r="D3" s="4" t="s">
        <v>1</v>
      </c>
      <c r="E3" s="4" t="s">
        <v>1</v>
      </c>
      <c r="F3" s="4" t="s">
        <v>1</v>
      </c>
      <c r="G3" s="4" t="s">
        <v>1</v>
      </c>
    </row>
    <row r="4" spans="1:7" x14ac:dyDescent="0.3">
      <c r="A4" s="3"/>
      <c r="D4" s="5">
        <v>3400</v>
      </c>
      <c r="E4" s="5">
        <v>3000</v>
      </c>
      <c r="F4" s="5">
        <v>3400</v>
      </c>
      <c r="G4" s="5">
        <v>3000</v>
      </c>
    </row>
    <row r="5" spans="1:7" s="6" customFormat="1" ht="27.75" customHeight="1" x14ac:dyDescent="0.3">
      <c r="A5" s="2" t="s">
        <v>2</v>
      </c>
      <c r="B5" s="6" t="s">
        <v>3</v>
      </c>
      <c r="C5" s="6" t="s">
        <v>4</v>
      </c>
      <c r="D5" s="6" t="s">
        <v>5</v>
      </c>
      <c r="E5" s="6" t="s">
        <v>5</v>
      </c>
      <c r="F5" s="6" t="s">
        <v>6</v>
      </c>
      <c r="G5" s="6" t="s">
        <v>6</v>
      </c>
    </row>
    <row r="6" spans="1:7" x14ac:dyDescent="0.3">
      <c r="A6" s="3">
        <v>39598</v>
      </c>
      <c r="B6">
        <v>3777.85</v>
      </c>
      <c r="C6" s="7">
        <v>5.0970000000000001E-2</v>
      </c>
      <c r="D6" s="5">
        <v>184.5</v>
      </c>
      <c r="E6" s="5">
        <v>99</v>
      </c>
      <c r="F6" s="8">
        <v>0.28252737577587594</v>
      </c>
      <c r="G6" s="8">
        <v>0.30282435544712227</v>
      </c>
    </row>
    <row r="7" spans="1:7" x14ac:dyDescent="0.3">
      <c r="A7" s="3">
        <v>39601</v>
      </c>
      <c r="B7">
        <v>3720.5</v>
      </c>
      <c r="C7" s="7">
        <v>5.0970000000000001E-2</v>
      </c>
      <c r="D7" s="5">
        <v>202.3</v>
      </c>
      <c r="E7" s="5">
        <v>109.5</v>
      </c>
      <c r="F7" s="8">
        <v>0.28592579226362724</v>
      </c>
      <c r="G7" s="8">
        <v>0.30591813557594688</v>
      </c>
    </row>
    <row r="8" spans="1:7" x14ac:dyDescent="0.3">
      <c r="A8" s="3">
        <v>39602</v>
      </c>
      <c r="B8">
        <v>3737.34</v>
      </c>
      <c r="C8" s="7">
        <v>5.0930000000000003E-2</v>
      </c>
      <c r="D8" s="5">
        <v>195.2</v>
      </c>
      <c r="E8" s="5">
        <v>105.3</v>
      </c>
      <c r="F8" s="8">
        <v>0.28391453963524355</v>
      </c>
      <c r="G8" s="8">
        <v>0.30437747397062342</v>
      </c>
    </row>
    <row r="9" spans="1:7" x14ac:dyDescent="0.3">
      <c r="A9" s="3">
        <v>39603</v>
      </c>
      <c r="B9">
        <v>3699.05</v>
      </c>
      <c r="C9" s="7">
        <v>5.1070000000000004E-2</v>
      </c>
      <c r="D9" s="5">
        <v>205.3</v>
      </c>
      <c r="E9" s="5">
        <v>111.2</v>
      </c>
      <c r="F9" s="8">
        <v>0.28434341776950983</v>
      </c>
      <c r="G9" s="8">
        <v>0.30475742554006124</v>
      </c>
    </row>
    <row r="10" spans="1:7" x14ac:dyDescent="0.3">
      <c r="A10" s="3">
        <v>39604</v>
      </c>
      <c r="B10">
        <v>3682.83</v>
      </c>
      <c r="C10" s="7">
        <v>5.1249999999999997E-2</v>
      </c>
      <c r="D10" s="5">
        <v>205.3</v>
      </c>
      <c r="E10" s="5">
        <v>110.4</v>
      </c>
      <c r="F10" s="8">
        <v>0.28124324441274101</v>
      </c>
      <c r="G10" s="8">
        <v>0.30148673720172436</v>
      </c>
    </row>
    <row r="11" spans="1:7" x14ac:dyDescent="0.3">
      <c r="A11" s="3">
        <v>39605</v>
      </c>
      <c r="B11">
        <v>3596.7</v>
      </c>
      <c r="C11" s="7">
        <v>5.4179999999999999E-2</v>
      </c>
      <c r="D11" s="5">
        <v>232.9</v>
      </c>
      <c r="E11" s="5">
        <v>127.5</v>
      </c>
      <c r="F11" s="8">
        <v>0.28695843605412363</v>
      </c>
      <c r="G11" s="8">
        <v>0.30681412047212864</v>
      </c>
    </row>
    <row r="12" spans="1:7" x14ac:dyDescent="0.3">
      <c r="A12" s="3">
        <v>39608</v>
      </c>
      <c r="B12">
        <v>3597.34</v>
      </c>
      <c r="C12" s="7">
        <v>5.4290000000000005E-2</v>
      </c>
      <c r="D12" s="5">
        <v>235.4</v>
      </c>
      <c r="E12" s="5">
        <v>129.9</v>
      </c>
      <c r="F12" s="8">
        <v>0.28988914401014149</v>
      </c>
      <c r="G12" s="8">
        <v>0.31039585368156258</v>
      </c>
    </row>
    <row r="13" spans="1:7" x14ac:dyDescent="0.3">
      <c r="A13" s="3">
        <v>39609</v>
      </c>
      <c r="B13">
        <v>3574.7</v>
      </c>
      <c r="C13" s="7">
        <v>5.4320000000000007E-2</v>
      </c>
      <c r="D13" s="5">
        <v>241.5</v>
      </c>
      <c r="E13" s="5">
        <v>133.19999999999999</v>
      </c>
      <c r="F13" s="8">
        <v>0.28956738505857743</v>
      </c>
      <c r="G13" s="8">
        <v>0.30982942024905136</v>
      </c>
    </row>
    <row r="14" spans="1:7" x14ac:dyDescent="0.3">
      <c r="A14" s="3">
        <v>39610</v>
      </c>
      <c r="B14">
        <v>3509.39</v>
      </c>
      <c r="C14" s="7">
        <v>5.4169999999999996E-2</v>
      </c>
      <c r="D14" s="5">
        <v>263</v>
      </c>
      <c r="E14" s="5">
        <v>144.9</v>
      </c>
      <c r="F14" s="8">
        <v>0.29024030261888506</v>
      </c>
      <c r="G14" s="8">
        <v>0.30902300094194857</v>
      </c>
    </row>
    <row r="15" spans="1:7" x14ac:dyDescent="0.3">
      <c r="A15" s="3">
        <v>39611</v>
      </c>
      <c r="B15">
        <v>3542.59</v>
      </c>
      <c r="C15" s="7">
        <v>5.425E-2</v>
      </c>
      <c r="D15" s="5">
        <v>246.7</v>
      </c>
      <c r="E15" s="5">
        <v>134.19999999999999</v>
      </c>
      <c r="F15" s="8">
        <v>0.28617916430392115</v>
      </c>
      <c r="G15" s="8">
        <v>0.30514589268266179</v>
      </c>
    </row>
    <row r="16" spans="1:7" x14ac:dyDescent="0.3">
      <c r="A16" s="3">
        <v>39612</v>
      </c>
      <c r="B16">
        <v>3562.67</v>
      </c>
      <c r="C16" s="7">
        <v>5.4390000000000001E-2</v>
      </c>
      <c r="D16" s="5">
        <v>234.2</v>
      </c>
      <c r="E16" s="5">
        <v>126</v>
      </c>
      <c r="F16" s="8">
        <v>0.28164210494529829</v>
      </c>
      <c r="G16" s="8">
        <v>0.30095523521433026</v>
      </c>
    </row>
    <row r="17" spans="1:7" x14ac:dyDescent="0.3">
      <c r="A17" s="3">
        <v>39615</v>
      </c>
      <c r="B17">
        <v>3532.83</v>
      </c>
      <c r="C17" s="7">
        <v>5.4359999999999999E-2</v>
      </c>
      <c r="D17" s="5">
        <v>238.4</v>
      </c>
      <c r="E17" s="5">
        <v>127.6</v>
      </c>
      <c r="F17" s="8">
        <v>0.27820461055570883</v>
      </c>
      <c r="G17" s="8">
        <v>0.2976332407287115</v>
      </c>
    </row>
    <row r="18" spans="1:7" x14ac:dyDescent="0.3">
      <c r="A18" s="3">
        <v>39616</v>
      </c>
      <c r="B18">
        <v>3555.58</v>
      </c>
      <c r="C18" s="7">
        <v>5.4339999999999999E-2</v>
      </c>
      <c r="D18" s="5">
        <v>227.4</v>
      </c>
      <c r="E18" s="5">
        <v>120.6</v>
      </c>
      <c r="F18" s="8">
        <v>0.27533666864205836</v>
      </c>
      <c r="G18" s="8">
        <v>0.29498480374334363</v>
      </c>
    </row>
    <row r="19" spans="1:7" x14ac:dyDescent="0.3">
      <c r="A19" s="3">
        <v>39617</v>
      </c>
      <c r="B19">
        <v>3507.97</v>
      </c>
      <c r="C19" s="7">
        <v>5.4269999999999999E-2</v>
      </c>
      <c r="D19" s="5">
        <v>249.2</v>
      </c>
      <c r="E19" s="5">
        <v>133.4</v>
      </c>
      <c r="F19" s="8">
        <v>0.28072798384990866</v>
      </c>
      <c r="G19" s="8">
        <v>0.29915595121212568</v>
      </c>
    </row>
    <row r="20" spans="1:7" x14ac:dyDescent="0.3">
      <c r="A20" s="3">
        <v>39618</v>
      </c>
      <c r="B20">
        <v>3486.71</v>
      </c>
      <c r="C20" s="7">
        <v>5.4299999999999994E-2</v>
      </c>
      <c r="D20" s="5">
        <v>252.2</v>
      </c>
      <c r="E20" s="5">
        <v>134.1</v>
      </c>
      <c r="F20" s="8">
        <v>0.27778767332119414</v>
      </c>
      <c r="G20" s="8">
        <v>0.29585208003511931</v>
      </c>
    </row>
    <row r="21" spans="1:7" x14ac:dyDescent="0.3">
      <c r="A21" s="3">
        <v>39619</v>
      </c>
      <c r="B21">
        <v>3426.58</v>
      </c>
      <c r="C21" s="7">
        <v>5.4290000000000005E-2</v>
      </c>
      <c r="D21" s="5">
        <v>279.5</v>
      </c>
      <c r="E21" s="5">
        <v>150.69999999999999</v>
      </c>
      <c r="F21" s="8">
        <v>0.28301919455971958</v>
      </c>
      <c r="G21" s="8">
        <v>0.30011904536628786</v>
      </c>
    </row>
    <row r="22" spans="1:7" x14ac:dyDescent="0.3">
      <c r="A22" s="3">
        <v>39622</v>
      </c>
      <c r="B22">
        <v>3427.33</v>
      </c>
      <c r="C22" s="7">
        <v>5.4189999999999995E-2</v>
      </c>
      <c r="D22" s="5">
        <v>273.60000000000002</v>
      </c>
      <c r="E22" s="5">
        <v>146.19999999999999</v>
      </c>
      <c r="F22" s="8">
        <v>0.27912836961771997</v>
      </c>
      <c r="G22" s="8">
        <v>0.29656266249118818</v>
      </c>
    </row>
    <row r="23" spans="1:7" x14ac:dyDescent="0.3">
      <c r="A23" s="3">
        <v>39623</v>
      </c>
      <c r="B23">
        <v>3404.52</v>
      </c>
      <c r="C23" s="7">
        <v>5.4219999999999997E-2</v>
      </c>
      <c r="D23" s="5">
        <v>283.10000000000002</v>
      </c>
      <c r="E23" s="5">
        <v>151.5</v>
      </c>
      <c r="F23" s="8">
        <v>0.28031773636058843</v>
      </c>
      <c r="G23" s="8">
        <v>0.29712647073574272</v>
      </c>
    </row>
    <row r="24" spans="1:7" x14ac:dyDescent="0.3">
      <c r="A24" s="3">
        <v>39624</v>
      </c>
      <c r="B24">
        <v>3460.4</v>
      </c>
      <c r="C24" s="7">
        <v>5.4179999999999999E-2</v>
      </c>
      <c r="D24" s="5">
        <v>252.9</v>
      </c>
      <c r="E24" s="5">
        <v>132.19999999999999</v>
      </c>
      <c r="F24" s="8">
        <v>0.27241304750401368</v>
      </c>
      <c r="G24" s="8">
        <v>0.2900050580854297</v>
      </c>
    </row>
    <row r="25" spans="1:7" x14ac:dyDescent="0.3">
      <c r="A25" s="3">
        <v>39625</v>
      </c>
      <c r="B25">
        <v>3366.35</v>
      </c>
      <c r="C25" s="7">
        <v>5.4080000000000003E-2</v>
      </c>
      <c r="D25" s="5">
        <v>294.8</v>
      </c>
      <c r="E25" s="5">
        <v>157</v>
      </c>
      <c r="F25" s="8">
        <v>0.27847316710786052</v>
      </c>
      <c r="G25" s="8">
        <v>0.29434900009375503</v>
      </c>
    </row>
    <row r="26" spans="1:7" x14ac:dyDescent="0.3">
      <c r="A26" s="3">
        <v>39626</v>
      </c>
      <c r="B26">
        <v>3340.27</v>
      </c>
      <c r="C26" s="7">
        <v>5.382E-2</v>
      </c>
      <c r="D26" s="5">
        <v>303.10000000000002</v>
      </c>
      <c r="E26" s="5">
        <v>161</v>
      </c>
      <c r="F26" s="8">
        <v>0.27688417829122614</v>
      </c>
      <c r="G26" s="8">
        <v>0.29222179462056447</v>
      </c>
    </row>
    <row r="27" spans="1:7" x14ac:dyDescent="0.3">
      <c r="A27" s="3">
        <v>39629</v>
      </c>
      <c r="B27">
        <v>3352.81</v>
      </c>
      <c r="C27" s="7">
        <v>5.3899999999999997E-2</v>
      </c>
      <c r="D27" s="5">
        <v>289</v>
      </c>
      <c r="E27" s="5">
        <v>151.6</v>
      </c>
      <c r="F27" s="8">
        <v>0.27035828565107317</v>
      </c>
      <c r="G27" s="8">
        <v>0.28685625500727041</v>
      </c>
    </row>
    <row r="28" spans="1:7" x14ac:dyDescent="0.3">
      <c r="A28" s="3">
        <v>39630</v>
      </c>
      <c r="B28">
        <v>3292.86</v>
      </c>
      <c r="C28" s="7">
        <v>5.4179999999999999E-2</v>
      </c>
      <c r="D28" s="5">
        <v>316.7</v>
      </c>
      <c r="E28" s="5">
        <v>168.2</v>
      </c>
      <c r="F28" s="8">
        <v>0.27366172620370233</v>
      </c>
      <c r="G28" s="8">
        <v>0.28917283884383399</v>
      </c>
    </row>
    <row r="29" spans="1:7" x14ac:dyDescent="0.3">
      <c r="A29" s="3">
        <v>39631</v>
      </c>
      <c r="B29">
        <v>3288.52</v>
      </c>
      <c r="C29" s="7">
        <v>5.4169999999999996E-2</v>
      </c>
      <c r="D29" s="5">
        <v>318.7</v>
      </c>
      <c r="E29" s="5">
        <v>169.3</v>
      </c>
      <c r="F29" s="8">
        <v>0.2739861442797355</v>
      </c>
      <c r="G29" s="8">
        <v>0.2894130529223462</v>
      </c>
    </row>
    <row r="30" spans="1:7" x14ac:dyDescent="0.3">
      <c r="A30" s="3">
        <v>39632</v>
      </c>
      <c r="B30">
        <v>3330.9</v>
      </c>
      <c r="C30" s="7">
        <v>5.4320000000000007E-2</v>
      </c>
      <c r="D30" s="5">
        <v>299.10000000000002</v>
      </c>
      <c r="E30" s="5">
        <v>157.19999999999999</v>
      </c>
      <c r="F30" s="8">
        <v>0.27259481105569705</v>
      </c>
      <c r="G30" s="8">
        <v>0.28838970056420615</v>
      </c>
    </row>
    <row r="31" spans="1:7" x14ac:dyDescent="0.3">
      <c r="A31" s="3">
        <v>39633</v>
      </c>
      <c r="B31">
        <v>3275.2</v>
      </c>
      <c r="C31" s="7">
        <v>5.3949999999999998E-2</v>
      </c>
      <c r="D31" s="5">
        <v>330.3</v>
      </c>
      <c r="E31" s="5">
        <v>176.2</v>
      </c>
      <c r="F31" s="8">
        <v>0.27883272302289186</v>
      </c>
      <c r="G31" s="8">
        <v>0.29300981528504166</v>
      </c>
    </row>
    <row r="32" spans="1:7" x14ac:dyDescent="0.3">
      <c r="A32" s="3">
        <v>39636</v>
      </c>
      <c r="B32">
        <v>3332.66</v>
      </c>
      <c r="C32" s="7">
        <v>5.3929999999999999E-2</v>
      </c>
      <c r="D32" s="5">
        <v>301</v>
      </c>
      <c r="E32" s="5">
        <v>158.1</v>
      </c>
      <c r="F32" s="8">
        <v>0.27497824014516858</v>
      </c>
      <c r="G32" s="8">
        <v>0.29043271235305623</v>
      </c>
    </row>
    <row r="33" spans="1:7" x14ac:dyDescent="0.3">
      <c r="A33" s="3">
        <v>39637</v>
      </c>
      <c r="B33">
        <v>3287.6</v>
      </c>
      <c r="C33" s="7">
        <v>5.3789999999999998E-2</v>
      </c>
      <c r="D33" s="5">
        <v>325.5</v>
      </c>
      <c r="E33" s="5">
        <v>173.2</v>
      </c>
      <c r="F33" s="8">
        <v>0.2797756864463532</v>
      </c>
      <c r="G33" s="8">
        <v>0.29420586613898136</v>
      </c>
    </row>
    <row r="34" spans="1:7" x14ac:dyDescent="0.3">
      <c r="A34" s="3">
        <v>39638</v>
      </c>
      <c r="B34">
        <v>3342.48</v>
      </c>
      <c r="C34" s="7">
        <v>5.3960000000000001E-2</v>
      </c>
      <c r="D34" s="5">
        <v>294.60000000000002</v>
      </c>
      <c r="E34" s="5">
        <v>154</v>
      </c>
      <c r="F34" s="8">
        <v>0.27344667374392151</v>
      </c>
      <c r="G34" s="8">
        <v>0.28931731163410818</v>
      </c>
    </row>
    <row r="35" spans="1:7" x14ac:dyDescent="0.3">
      <c r="A35" s="3">
        <v>39639</v>
      </c>
      <c r="B35">
        <v>3283.01</v>
      </c>
      <c r="C35" s="7">
        <v>5.3840000000000006E-2</v>
      </c>
      <c r="D35" s="5">
        <v>331.3</v>
      </c>
      <c r="E35" s="5">
        <v>176.4</v>
      </c>
      <c r="F35" s="8">
        <v>0.2833442136271645</v>
      </c>
      <c r="G35" s="8">
        <v>0.29673551827088723</v>
      </c>
    </row>
    <row r="36" spans="1:7" x14ac:dyDescent="0.3">
      <c r="A36" s="3">
        <v>39640</v>
      </c>
      <c r="B36">
        <v>3197.78</v>
      </c>
      <c r="C36" s="7">
        <v>5.3879999999999997E-2</v>
      </c>
      <c r="D36" s="5">
        <v>376.7</v>
      </c>
      <c r="E36" s="5">
        <v>205.6</v>
      </c>
      <c r="F36" s="8">
        <v>0.28990486511893987</v>
      </c>
      <c r="G36" s="8">
        <v>0.30216407943483675</v>
      </c>
    </row>
    <row r="37" spans="1:7" x14ac:dyDescent="0.3">
      <c r="A37" s="3">
        <v>39643</v>
      </c>
      <c r="B37">
        <v>3216.24</v>
      </c>
      <c r="C37" s="7">
        <v>5.3840000000000006E-2</v>
      </c>
      <c r="D37" s="5">
        <v>362.3</v>
      </c>
      <c r="E37" s="5">
        <v>195.3</v>
      </c>
      <c r="F37" s="8">
        <v>0.28559143898769124</v>
      </c>
      <c r="G37" s="8">
        <v>0.29835374243639845</v>
      </c>
    </row>
    <row r="38" spans="1:7" x14ac:dyDescent="0.3">
      <c r="A38" s="3">
        <v>39644</v>
      </c>
      <c r="B38">
        <v>3142.73</v>
      </c>
      <c r="C38" s="7">
        <v>5.3739999999999996E-2</v>
      </c>
      <c r="D38" s="5">
        <v>402.2</v>
      </c>
      <c r="E38" s="5">
        <v>220.4</v>
      </c>
      <c r="F38" s="8">
        <v>0.2900868002745301</v>
      </c>
      <c r="G38" s="8">
        <v>0.30123925306645927</v>
      </c>
    </row>
    <row r="39" spans="1:7" x14ac:dyDescent="0.3">
      <c r="A39" s="3">
        <v>39645</v>
      </c>
      <c r="B39">
        <v>3174.76</v>
      </c>
      <c r="C39" s="7">
        <v>5.3689999999999995E-2</v>
      </c>
      <c r="D39" s="5">
        <v>385.3</v>
      </c>
      <c r="E39" s="5">
        <v>208.6</v>
      </c>
      <c r="F39" s="8">
        <v>0.28890979680940609</v>
      </c>
      <c r="G39" s="8">
        <v>0.29973415524622182</v>
      </c>
    </row>
    <row r="40" spans="1:7" x14ac:dyDescent="0.3">
      <c r="A40" s="3">
        <v>39646</v>
      </c>
      <c r="B40">
        <v>3256.09</v>
      </c>
      <c r="C40" s="7">
        <v>5.3769999999999998E-2</v>
      </c>
      <c r="D40" s="5">
        <v>333.7</v>
      </c>
      <c r="E40" s="5">
        <v>175.5</v>
      </c>
      <c r="F40" s="8">
        <v>0.27728817985828347</v>
      </c>
      <c r="G40" s="8">
        <v>0.29085739708010855</v>
      </c>
    </row>
    <row r="41" spans="1:7" x14ac:dyDescent="0.3">
      <c r="A41" s="3">
        <v>39647</v>
      </c>
      <c r="B41">
        <v>3321.53</v>
      </c>
      <c r="C41" s="7">
        <v>5.3749999999999999E-2</v>
      </c>
      <c r="D41" s="5">
        <v>300.7</v>
      </c>
      <c r="E41" s="5">
        <v>156.30000000000001</v>
      </c>
      <c r="F41" s="8">
        <v>0.27317240542789128</v>
      </c>
      <c r="G41" s="8">
        <v>0.28890100874448693</v>
      </c>
    </row>
    <row r="42" spans="1:7" x14ac:dyDescent="0.3">
      <c r="A42" s="3">
        <v>39650</v>
      </c>
      <c r="B42">
        <v>3333.92</v>
      </c>
      <c r="C42" s="7">
        <v>5.4130000000000005E-2</v>
      </c>
      <c r="D42" s="5">
        <v>292.5</v>
      </c>
      <c r="E42" s="5">
        <v>151.4</v>
      </c>
      <c r="F42" s="8">
        <v>0.27170292148967923</v>
      </c>
      <c r="G42" s="8">
        <v>0.28823063700379065</v>
      </c>
    </row>
    <row r="43" spans="1:7" x14ac:dyDescent="0.3">
      <c r="A43" s="3">
        <v>39651</v>
      </c>
      <c r="B43">
        <v>3326.24</v>
      </c>
      <c r="C43" s="7">
        <v>5.4179999999999999E-2</v>
      </c>
      <c r="D43" s="5">
        <v>292.39999999999998</v>
      </c>
      <c r="E43" s="5">
        <v>150.30000000000001</v>
      </c>
      <c r="F43" s="8">
        <v>0.26936521678320219</v>
      </c>
      <c r="G43" s="8">
        <v>0.28558155508796762</v>
      </c>
    </row>
    <row r="44" spans="1:7" x14ac:dyDescent="0.3">
      <c r="A44" s="3">
        <v>39652</v>
      </c>
      <c r="B44">
        <v>3387.5</v>
      </c>
      <c r="C44" s="7">
        <v>5.4320000000000007E-2</v>
      </c>
      <c r="D44" s="5">
        <v>264.39999999999998</v>
      </c>
      <c r="E44" s="5">
        <v>133.6</v>
      </c>
      <c r="F44" s="8">
        <v>0.2665683292697395</v>
      </c>
      <c r="G44" s="8">
        <v>0.2834541586477054</v>
      </c>
    </row>
    <row r="45" spans="1:7" x14ac:dyDescent="0.3">
      <c r="A45" s="3">
        <v>39653</v>
      </c>
      <c r="B45">
        <v>3354.58</v>
      </c>
      <c r="C45" s="7">
        <v>5.4089999999999999E-2</v>
      </c>
      <c r="D45" s="5">
        <v>286.39999999999998</v>
      </c>
      <c r="E45" s="5">
        <v>146.80000000000001</v>
      </c>
      <c r="F45" s="8">
        <v>0.27404771696447339</v>
      </c>
      <c r="G45" s="8">
        <v>0.28940981054480869</v>
      </c>
    </row>
    <row r="46" spans="1:7" x14ac:dyDescent="0.3">
      <c r="A46" s="3">
        <v>39654</v>
      </c>
      <c r="B46">
        <v>3351.13</v>
      </c>
      <c r="C46" s="7">
        <v>5.3870000000000001E-2</v>
      </c>
      <c r="D46" s="5">
        <v>284.89999999999998</v>
      </c>
      <c r="E46" s="5">
        <v>146</v>
      </c>
      <c r="F46" s="8">
        <v>0.27167125614297566</v>
      </c>
      <c r="G46" s="8">
        <v>0.28787167678508496</v>
      </c>
    </row>
    <row r="47" spans="1:7" x14ac:dyDescent="0.3">
      <c r="A47" s="3">
        <v>39657</v>
      </c>
      <c r="B47">
        <v>3313.41</v>
      </c>
      <c r="C47" s="7">
        <v>5.389E-2</v>
      </c>
      <c r="D47" s="5">
        <v>303.2</v>
      </c>
      <c r="E47" s="5">
        <v>156.1</v>
      </c>
      <c r="F47" s="8">
        <v>0.27479790729135362</v>
      </c>
      <c r="G47" s="8">
        <v>0.28973603587766955</v>
      </c>
    </row>
    <row r="48" spans="1:7" x14ac:dyDescent="0.3">
      <c r="A48" s="3">
        <v>39658</v>
      </c>
      <c r="B48">
        <v>3324.86</v>
      </c>
      <c r="C48" s="7">
        <v>5.3800000000000001E-2</v>
      </c>
      <c r="D48" s="5">
        <v>295.10000000000002</v>
      </c>
      <c r="E48" s="5">
        <v>151.19999999999999</v>
      </c>
      <c r="F48" s="8">
        <v>0.27213612757606603</v>
      </c>
      <c r="G48" s="8">
        <v>0.28786635039664271</v>
      </c>
    </row>
    <row r="49" spans="1:7" x14ac:dyDescent="0.3">
      <c r="A49" s="3">
        <v>39659</v>
      </c>
      <c r="B49">
        <v>3367.33</v>
      </c>
      <c r="C49" s="7">
        <v>5.3689999999999995E-2</v>
      </c>
      <c r="D49" s="5">
        <v>272</v>
      </c>
      <c r="E49" s="5">
        <v>137.5</v>
      </c>
      <c r="F49" s="8">
        <v>0.26722691247562119</v>
      </c>
      <c r="G49" s="8">
        <v>0.28432797745896293</v>
      </c>
    </row>
    <row r="50" spans="1:7" x14ac:dyDescent="0.3">
      <c r="A50" s="3">
        <v>39660</v>
      </c>
      <c r="B50">
        <v>3367.82</v>
      </c>
      <c r="C50" s="7">
        <v>5.3659999999999999E-2</v>
      </c>
      <c r="D50" s="5">
        <v>276.39999999999998</v>
      </c>
      <c r="E50" s="5">
        <v>139.9</v>
      </c>
      <c r="F50" s="8">
        <v>0.27118796388740918</v>
      </c>
      <c r="G50" s="8">
        <v>0.2872189543733219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417F0E-CCB9-4DA8-BA56-B37D163B0B38}">
  <sheetPr codeName="Feuil3"/>
  <dimension ref="A1:U29"/>
  <sheetViews>
    <sheetView zoomScale="85" workbookViewId="0">
      <selection activeCell="R33" sqref="R33"/>
    </sheetView>
  </sheetViews>
  <sheetFormatPr baseColWidth="10" defaultRowHeight="14.4" x14ac:dyDescent="0.3"/>
  <cols>
    <col min="1" max="1" width="13.88671875" customWidth="1"/>
    <col min="5" max="5" width="11.5546875" customWidth="1"/>
    <col min="8" max="8" width="12" bestFit="1" customWidth="1"/>
    <col min="12" max="12" width="11.5546875" customWidth="1"/>
    <col min="13" max="13" width="12.6640625" customWidth="1"/>
  </cols>
  <sheetData>
    <row r="1" spans="1:16" x14ac:dyDescent="0.3">
      <c r="D1" s="2" t="s">
        <v>0</v>
      </c>
      <c r="E1" s="2" t="s">
        <v>0</v>
      </c>
    </row>
    <row r="2" spans="1:16" x14ac:dyDescent="0.3">
      <c r="D2" s="3">
        <v>39983</v>
      </c>
      <c r="E2" s="3">
        <f>D2</f>
        <v>39983</v>
      </c>
    </row>
    <row r="3" spans="1:16" x14ac:dyDescent="0.3">
      <c r="D3" s="4" t="s">
        <v>1</v>
      </c>
      <c r="E3" s="4" t="s">
        <v>1</v>
      </c>
    </row>
    <row r="4" spans="1:16" x14ac:dyDescent="0.3">
      <c r="D4" s="5">
        <v>3400</v>
      </c>
      <c r="E4" s="5">
        <v>3400</v>
      </c>
    </row>
    <row r="5" spans="1:16" ht="28.8" x14ac:dyDescent="0.3">
      <c r="A5" s="2" t="s">
        <v>2</v>
      </c>
      <c r="B5" s="6" t="s">
        <v>3</v>
      </c>
      <c r="C5" s="6" t="s">
        <v>4</v>
      </c>
      <c r="D5" s="6" t="s">
        <v>5</v>
      </c>
      <c r="E5" s="6" t="s">
        <v>6</v>
      </c>
      <c r="F5" s="6" t="s">
        <v>7</v>
      </c>
      <c r="G5" s="6" t="s">
        <v>11</v>
      </c>
      <c r="H5" s="6" t="s">
        <v>8</v>
      </c>
      <c r="I5" s="6" t="s">
        <v>9</v>
      </c>
      <c r="J5" s="6" t="s">
        <v>10</v>
      </c>
    </row>
    <row r="6" spans="1:16" x14ac:dyDescent="0.3">
      <c r="A6" s="3">
        <v>39598</v>
      </c>
      <c r="B6">
        <v>3777.85</v>
      </c>
      <c r="C6" s="7">
        <v>5.0970000000000001E-2</v>
      </c>
      <c r="D6" s="5">
        <v>184.5</v>
      </c>
      <c r="E6" s="8">
        <v>0.28252737577587594</v>
      </c>
      <c r="F6">
        <f>(E2-A6)/365</f>
        <v>1.0547945205479452</v>
      </c>
      <c r="G6" cm="1">
        <f t="array" ref="G6">BS_Delta("P",B6,D4,E6,F6,C6)+1</f>
        <v>0.75601408219844279</v>
      </c>
      <c r="H6" cm="1">
        <f t="array" ref="H6">BS_Gamma(B6,D4,E6,F6,C6)</f>
        <v>2.8613704435912705E-4</v>
      </c>
      <c r="I6" cm="1">
        <f t="array" ref="I6">BS_Theta("P",B6,D4,E6,F6,C6)</f>
        <v>-106.60244183398994</v>
      </c>
      <c r="J6" cm="1">
        <f t="array" ref="J6">BS_Vega(B6,D4,E6,F6,C6)</f>
        <v>1217.0037260331103</v>
      </c>
    </row>
    <row r="7" spans="1:16" x14ac:dyDescent="0.3">
      <c r="A7" s="3">
        <v>39601</v>
      </c>
      <c r="B7">
        <v>3720.5</v>
      </c>
      <c r="C7" s="7">
        <v>5.0970000000000001E-2</v>
      </c>
      <c r="D7" s="5">
        <v>202.3</v>
      </c>
      <c r="E7" s="8">
        <v>0.28592579226362724</v>
      </c>
      <c r="F7">
        <f>($E$2-A7)/365</f>
        <v>1.0465753424657533</v>
      </c>
    </row>
    <row r="15" spans="1:16" ht="15.6" x14ac:dyDescent="0.3">
      <c r="B15" s="24" t="s">
        <v>60</v>
      </c>
      <c r="C15" s="25"/>
      <c r="O15" s="24" t="s">
        <v>59</v>
      </c>
      <c r="P15" s="25"/>
    </row>
    <row r="18" spans="1:21" x14ac:dyDescent="0.3">
      <c r="D18" s="9" t="s">
        <v>13</v>
      </c>
      <c r="E18" t="s">
        <v>18</v>
      </c>
      <c r="F18" s="9" t="s">
        <v>14</v>
      </c>
      <c r="P18" s="9" t="s">
        <v>13</v>
      </c>
      <c r="Q18" t="s">
        <v>18</v>
      </c>
      <c r="R18" s="9" t="s">
        <v>14</v>
      </c>
    </row>
    <row r="19" spans="1:21" x14ac:dyDescent="0.3">
      <c r="A19" s="28" t="s">
        <v>12</v>
      </c>
      <c r="B19" s="28">
        <f>$G$6*(F19*$B$6)+0.5*$H$6*(F19*$B$6)^2+$I$6*(A7-A6)/365+$J$6*(D19)</f>
        <v>-39.627150950814666</v>
      </c>
      <c r="D19" s="9">
        <f>E7-E6</f>
        <v>3.398416487751299E-3</v>
      </c>
      <c r="E19">
        <f>B7-B6</f>
        <v>-57.349999999999909</v>
      </c>
      <c r="F19">
        <f>E19/$B$6</f>
        <v>-1.5180592135738557E-2</v>
      </c>
      <c r="M19" s="28" t="s">
        <v>12</v>
      </c>
      <c r="N19" s="29" cm="1">
        <f t="array" ref="N19">$B$6*R19+BS_Price("P",(1+R19)*$B$6,$D$4,(P19+$E$6),$F$7,$C$6)-$D$6</f>
        <v>-39.549999999999869</v>
      </c>
      <c r="P19" s="9">
        <f>E7-E6</f>
        <v>3.398416487751299E-3</v>
      </c>
      <c r="Q19">
        <f>B7-B6</f>
        <v>-57.349999999999909</v>
      </c>
      <c r="R19">
        <f>Q19/$B$6</f>
        <v>-1.5180592135738557E-2</v>
      </c>
    </row>
    <row r="20" spans="1:21" ht="15" thickBot="1" x14ac:dyDescent="0.35"/>
    <row r="21" spans="1:21" ht="34.799999999999997" customHeight="1" thickBot="1" x14ac:dyDescent="0.35">
      <c r="A21" s="10" t="s">
        <v>15</v>
      </c>
      <c r="B21" s="14"/>
      <c r="C21" s="34" t="s">
        <v>70</v>
      </c>
      <c r="D21" s="35"/>
      <c r="E21" s="35"/>
      <c r="F21" s="35"/>
      <c r="G21" s="35"/>
      <c r="H21" s="35"/>
      <c r="I21" s="36"/>
      <c r="M21" s="37" t="s">
        <v>15</v>
      </c>
      <c r="N21" s="14"/>
      <c r="O21" s="34" t="s">
        <v>70</v>
      </c>
      <c r="P21" s="35"/>
      <c r="Q21" s="35"/>
      <c r="R21" s="35"/>
      <c r="S21" s="35"/>
      <c r="T21" s="35"/>
      <c r="U21" s="36"/>
    </row>
    <row r="22" spans="1:21" ht="15" thickBot="1" x14ac:dyDescent="0.35">
      <c r="A22" s="17"/>
      <c r="B22" s="18">
        <f>$G$6*(F19*$B$6)+0.5*$H$6*(F19*$B$6)^2+$I$6*(A7-A6)/365+$J$6*(D19)</f>
        <v>-39.627150950814666</v>
      </c>
      <c r="C22" s="12">
        <v>-0.1</v>
      </c>
      <c r="D22" s="12">
        <v>-0.05</v>
      </c>
      <c r="E22" s="12">
        <v>-0.01</v>
      </c>
      <c r="F22" s="26">
        <v>0</v>
      </c>
      <c r="G22" s="12">
        <v>0.01</v>
      </c>
      <c r="H22" s="12">
        <v>0.05</v>
      </c>
      <c r="I22" s="12">
        <v>0.1</v>
      </c>
      <c r="M22" s="38"/>
      <c r="N22" s="21">
        <f>N19</f>
        <v>-39.549999999999869</v>
      </c>
      <c r="O22" s="12">
        <v>-0.1</v>
      </c>
      <c r="P22" s="12">
        <v>-0.05</v>
      </c>
      <c r="Q22" s="12">
        <v>-0.01</v>
      </c>
      <c r="R22" s="26">
        <v>0</v>
      </c>
      <c r="S22" s="12">
        <v>0.01</v>
      </c>
      <c r="T22" s="12">
        <v>0.05</v>
      </c>
      <c r="U22" s="12">
        <v>0.1</v>
      </c>
    </row>
    <row r="23" spans="1:21" ht="15" thickBot="1" x14ac:dyDescent="0.35">
      <c r="A23" s="31" t="s">
        <v>72</v>
      </c>
      <c r="B23" s="12">
        <v>-0.1</v>
      </c>
      <c r="C23" s="13">
        <f t="dataTable" ref="C23:I29" dt2D="1" dtr="1" r1="D19" r2="F19"/>
        <v>-387.76838212122766</v>
      </c>
      <c r="D23" s="13">
        <v>-326.91819581957213</v>
      </c>
      <c r="E23" s="13">
        <v>-278.23804677824774</v>
      </c>
      <c r="F23" s="27">
        <v>-266.06800951791661</v>
      </c>
      <c r="G23" s="13">
        <v>-253.89797225758551</v>
      </c>
      <c r="H23" s="13">
        <v>-205.21782321626108</v>
      </c>
      <c r="I23" s="13">
        <v>-144.36763691460555</v>
      </c>
      <c r="M23" s="31" t="s">
        <v>71</v>
      </c>
      <c r="N23" s="12">
        <v>-0.1</v>
      </c>
      <c r="O23" s="13">
        <f t="dataTable" ref="O23:U29" dt2D="1" dtr="1" r1="P19" r2="R19"/>
        <v>-394.31959342275763</v>
      </c>
      <c r="P23" s="13">
        <v>-329.2634385442077</v>
      </c>
      <c r="Q23" s="13">
        <v>-276.80673810216678</v>
      </c>
      <c r="R23" s="27">
        <v>-263.66523890033238</v>
      </c>
      <c r="S23" s="13">
        <v>-250.51757755080115</v>
      </c>
      <c r="T23" s="13">
        <v>-197.90082699299592</v>
      </c>
      <c r="U23" s="13">
        <v>-132.17353051765531</v>
      </c>
    </row>
    <row r="24" spans="1:21" ht="15" thickBot="1" x14ac:dyDescent="0.35">
      <c r="A24" s="32"/>
      <c r="B24" s="12">
        <v>-0.05</v>
      </c>
      <c r="C24" s="13">
        <v>-260.27720833369739</v>
      </c>
      <c r="D24" s="13">
        <v>-199.42702203204189</v>
      </c>
      <c r="E24" s="13">
        <v>-150.74687299071746</v>
      </c>
      <c r="F24" s="27">
        <v>-138.57683573038636</v>
      </c>
      <c r="G24" s="13">
        <v>-126.40679847005526</v>
      </c>
      <c r="H24" s="13">
        <v>-77.726649428730838</v>
      </c>
      <c r="I24" s="13">
        <v>-16.876463127075326</v>
      </c>
      <c r="M24" s="32"/>
      <c r="N24" s="12">
        <v>-0.05</v>
      </c>
      <c r="O24" s="13">
        <v>-262.16099688727547</v>
      </c>
      <c r="P24" s="13">
        <v>-201.54429863809531</v>
      </c>
      <c r="Q24" s="13">
        <v>-151.06792565161606</v>
      </c>
      <c r="R24" s="27">
        <v>-138.27532368376484</v>
      </c>
      <c r="S24" s="13">
        <v>-125.42943675550674</v>
      </c>
      <c r="T24" s="13">
        <v>-73.630200459104486</v>
      </c>
      <c r="U24" s="13">
        <v>-8.2710143941014564</v>
      </c>
    </row>
    <row r="25" spans="1:21" ht="15" thickBot="1" x14ac:dyDescent="0.35">
      <c r="A25" s="32"/>
      <c r="B25" s="12">
        <v>-0.01</v>
      </c>
      <c r="C25" s="13">
        <v>-150.93344551128644</v>
      </c>
      <c r="D25" s="13">
        <v>-90.083259209630924</v>
      </c>
      <c r="E25" s="13">
        <v>-41.403110168306512</v>
      </c>
      <c r="F25" s="27">
        <v>-29.233072907975405</v>
      </c>
      <c r="G25" s="13">
        <v>-17.063035647644302</v>
      </c>
      <c r="H25" s="13">
        <v>31.617113393680114</v>
      </c>
      <c r="I25" s="13">
        <v>92.46729969533564</v>
      </c>
      <c r="M25" s="32"/>
      <c r="N25" s="12">
        <v>-0.01</v>
      </c>
      <c r="O25" s="13">
        <v>-144.01936536706822</v>
      </c>
      <c r="P25" s="13">
        <v>-89.05282447883215</v>
      </c>
      <c r="Q25" s="13">
        <v>-41.465069354520153</v>
      </c>
      <c r="R25" s="27">
        <v>-29.23432227954271</v>
      </c>
      <c r="S25" s="13">
        <v>-16.897481734581248</v>
      </c>
      <c r="T25" s="13">
        <v>33.308803512086797</v>
      </c>
      <c r="U25" s="13">
        <v>97.4354772107435</v>
      </c>
    </row>
    <row r="26" spans="1:21" ht="15" thickBot="1" x14ac:dyDescent="0.35">
      <c r="A26" s="32"/>
      <c r="B26" s="26">
        <v>0</v>
      </c>
      <c r="C26" s="27">
        <v>-122.57655705674109</v>
      </c>
      <c r="D26" s="27">
        <v>-61.726370755085576</v>
      </c>
      <c r="E26" s="27">
        <v>-13.046221713761158</v>
      </c>
      <c r="F26" s="27">
        <v>-0.87618445343005436</v>
      </c>
      <c r="G26" s="27">
        <v>11.293852806901048</v>
      </c>
      <c r="H26" s="27">
        <v>59.974001848225463</v>
      </c>
      <c r="I26" s="27">
        <v>120.82418814988098</v>
      </c>
      <c r="M26" s="32"/>
      <c r="N26" s="26">
        <v>0</v>
      </c>
      <c r="O26" s="27">
        <v>-113.03068215906239</v>
      </c>
      <c r="P26" s="27">
        <v>-59.665896206798351</v>
      </c>
      <c r="Q26" s="27">
        <v>-12.937943372464673</v>
      </c>
      <c r="R26" s="27">
        <v>-0.87895959721549843</v>
      </c>
      <c r="S26" s="27">
        <v>11.30057707425874</v>
      </c>
      <c r="T26" s="27">
        <v>61.000356661332091</v>
      </c>
      <c r="U26" s="27">
        <v>124.70691678064969</v>
      </c>
    </row>
    <row r="27" spans="1:21" ht="15" thickBot="1" x14ac:dyDescent="0.35">
      <c r="A27" s="32"/>
      <c r="B27" s="12">
        <v>0.01</v>
      </c>
      <c r="C27" s="13">
        <v>-93.811289502618706</v>
      </c>
      <c r="D27" s="13">
        <v>-32.96110320096318</v>
      </c>
      <c r="E27" s="13">
        <v>15.719045840361236</v>
      </c>
      <c r="F27" s="27">
        <v>27.889083100692339</v>
      </c>
      <c r="G27" s="13">
        <v>40.059120361023446</v>
      </c>
      <c r="H27" s="13">
        <v>88.739269402347858</v>
      </c>
      <c r="I27" s="13">
        <v>149.58945570400337</v>
      </c>
      <c r="M27" s="32"/>
      <c r="N27" s="12">
        <v>0.01</v>
      </c>
      <c r="O27" s="13">
        <v>-81.524705114114511</v>
      </c>
      <c r="P27" s="13">
        <v>-29.813810662036531</v>
      </c>
      <c r="Q27" s="13">
        <v>16.009720741436951</v>
      </c>
      <c r="R27" s="27">
        <v>27.886354840659408</v>
      </c>
      <c r="S27" s="13">
        <v>39.898304566373156</v>
      </c>
      <c r="T27" s="13">
        <v>89.05367728254663</v>
      </c>
      <c r="U27" s="13">
        <v>152.29980628894037</v>
      </c>
    </row>
    <row r="28" spans="1:21" ht="15" thickBot="1" x14ac:dyDescent="0.35">
      <c r="A28" s="32"/>
      <c r="B28" s="12">
        <v>0.05</v>
      </c>
      <c r="C28" s="13">
        <v>25.333571709641305</v>
      </c>
      <c r="D28" s="13">
        <v>86.183758011296817</v>
      </c>
      <c r="E28" s="13">
        <v>134.86390705262124</v>
      </c>
      <c r="F28" s="27">
        <v>147.03394431295234</v>
      </c>
      <c r="G28" s="13">
        <v>159.20398157328344</v>
      </c>
      <c r="H28" s="13">
        <v>207.88413061460787</v>
      </c>
      <c r="I28" s="13">
        <v>268.73431691626337</v>
      </c>
      <c r="M28" s="32"/>
      <c r="N28" s="12">
        <v>0.05</v>
      </c>
      <c r="O28" s="13">
        <v>49.067258499835845</v>
      </c>
      <c r="P28" s="13">
        <v>93.853142180832947</v>
      </c>
      <c r="Q28" s="13">
        <v>135.71211350291622</v>
      </c>
      <c r="R28" s="27">
        <v>146.77219337497036</v>
      </c>
      <c r="S28" s="13">
        <v>158.02781740355158</v>
      </c>
      <c r="T28" s="13">
        <v>204.67951267223333</v>
      </c>
      <c r="U28" s="13">
        <v>265.72498078128751</v>
      </c>
    </row>
    <row r="29" spans="1:21" ht="15" thickBot="1" x14ac:dyDescent="0.35">
      <c r="A29" s="33"/>
      <c r="B29" s="12">
        <v>0.1</v>
      </c>
      <c r="C29" s="13">
        <v>183.45317796544975</v>
      </c>
      <c r="D29" s="13">
        <v>244.30336426710528</v>
      </c>
      <c r="E29" s="13">
        <v>292.98351330842968</v>
      </c>
      <c r="F29" s="27">
        <v>305.15355056876081</v>
      </c>
      <c r="G29" s="13">
        <v>317.32358782909193</v>
      </c>
      <c r="H29" s="13">
        <v>366.00373687041633</v>
      </c>
      <c r="I29" s="13">
        <v>426.85392317207186</v>
      </c>
      <c r="M29" s="33"/>
      <c r="N29" s="12">
        <v>0.1</v>
      </c>
      <c r="O29" s="13">
        <v>220.52649075272245</v>
      </c>
      <c r="P29" s="13">
        <v>256.62596939107675</v>
      </c>
      <c r="Q29" s="13">
        <v>293.08662109033077</v>
      </c>
      <c r="R29" s="27">
        <v>302.99515195829588</v>
      </c>
      <c r="S29" s="13">
        <v>313.17109776413122</v>
      </c>
      <c r="T29" s="13">
        <v>356.14791256621129</v>
      </c>
      <c r="U29" s="13">
        <v>413.79466804906997</v>
      </c>
    </row>
  </sheetData>
  <mergeCells count="5">
    <mergeCell ref="A23:A29"/>
    <mergeCell ref="M23:M29"/>
    <mergeCell ref="O21:U21"/>
    <mergeCell ref="C21:I21"/>
    <mergeCell ref="M21:M22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D15B35-5AE2-45B0-A13D-91B4036FFAD5}">
  <sheetPr codeName="Feuil4"/>
  <dimension ref="A1:U66"/>
  <sheetViews>
    <sheetView topLeftCell="A20" zoomScale="79" workbookViewId="0">
      <selection activeCell="B71" sqref="B71"/>
    </sheetView>
  </sheetViews>
  <sheetFormatPr baseColWidth="10" defaultRowHeight="14.4" x14ac:dyDescent="0.3"/>
  <cols>
    <col min="5" max="5" width="17.109375" customWidth="1"/>
    <col min="8" max="8" width="14" customWidth="1"/>
    <col min="9" max="9" width="16.33203125" customWidth="1"/>
    <col min="11" max="11" width="12.6640625" bestFit="1" customWidth="1"/>
    <col min="13" max="15" width="12" bestFit="1" customWidth="1"/>
  </cols>
  <sheetData>
    <row r="1" spans="1:21" x14ac:dyDescent="0.3">
      <c r="A1" s="1"/>
      <c r="B1" s="1"/>
      <c r="C1" s="1"/>
      <c r="D1" s="2" t="s">
        <v>0</v>
      </c>
      <c r="E1" s="2" t="s">
        <v>0</v>
      </c>
      <c r="F1" s="2" t="s">
        <v>0</v>
      </c>
      <c r="G1" s="2" t="s">
        <v>0</v>
      </c>
    </row>
    <row r="2" spans="1:21" x14ac:dyDescent="0.3">
      <c r="D2" s="3">
        <v>39983</v>
      </c>
      <c r="E2" s="3">
        <v>39983</v>
      </c>
      <c r="F2" s="3">
        <f>D2</f>
        <v>39983</v>
      </c>
      <c r="G2" s="3">
        <f>E2</f>
        <v>39983</v>
      </c>
    </row>
    <row r="3" spans="1:21" x14ac:dyDescent="0.3">
      <c r="A3" s="1"/>
      <c r="B3" s="1"/>
      <c r="C3" s="1"/>
      <c r="D3" s="4" t="s">
        <v>1</v>
      </c>
      <c r="E3" s="4" t="s">
        <v>1</v>
      </c>
      <c r="F3" s="4" t="s">
        <v>1</v>
      </c>
      <c r="G3" s="4" t="s">
        <v>1</v>
      </c>
    </row>
    <row r="4" spans="1:21" x14ac:dyDescent="0.3">
      <c r="A4" s="3"/>
      <c r="D4" s="5">
        <v>3400</v>
      </c>
      <c r="E4" s="5">
        <v>3000</v>
      </c>
      <c r="F4" s="5">
        <v>3400</v>
      </c>
      <c r="G4" s="5">
        <v>3000</v>
      </c>
    </row>
    <row r="5" spans="1:21" ht="28.8" x14ac:dyDescent="0.3">
      <c r="A5" s="2" t="s">
        <v>2</v>
      </c>
      <c r="B5" s="6" t="s">
        <v>3</v>
      </c>
      <c r="C5" s="6" t="s">
        <v>4</v>
      </c>
      <c r="D5" s="6" t="s">
        <v>5</v>
      </c>
      <c r="E5" s="6" t="s">
        <v>5</v>
      </c>
      <c r="F5" s="6" t="s">
        <v>6</v>
      </c>
      <c r="G5" s="6" t="s">
        <v>6</v>
      </c>
      <c r="H5" t="s">
        <v>19</v>
      </c>
      <c r="I5" t="s">
        <v>20</v>
      </c>
      <c r="J5" t="s">
        <v>21</v>
      </c>
      <c r="K5" t="s">
        <v>22</v>
      </c>
      <c r="L5" s="19" t="s">
        <v>23</v>
      </c>
      <c r="M5" t="s">
        <v>24</v>
      </c>
      <c r="N5" t="s">
        <v>25</v>
      </c>
      <c r="O5" s="19" t="s">
        <v>26</v>
      </c>
      <c r="P5" t="s">
        <v>27</v>
      </c>
      <c r="Q5" t="s">
        <v>28</v>
      </c>
      <c r="R5" s="19" t="s">
        <v>29</v>
      </c>
      <c r="S5" t="s">
        <v>30</v>
      </c>
      <c r="T5" t="s">
        <v>31</v>
      </c>
      <c r="U5" s="19" t="s">
        <v>32</v>
      </c>
    </row>
    <row r="6" spans="1:21" x14ac:dyDescent="0.3">
      <c r="A6" s="3">
        <v>39598</v>
      </c>
      <c r="B6">
        <v>3777.85</v>
      </c>
      <c r="C6" s="7">
        <v>5.0970000000000001E-2</v>
      </c>
      <c r="D6" s="5">
        <v>184.5</v>
      </c>
      <c r="E6" s="5">
        <v>99</v>
      </c>
      <c r="F6" s="8">
        <v>0.28252737577587594</v>
      </c>
      <c r="G6" s="8">
        <v>0.30282435544712227</v>
      </c>
      <c r="H6">
        <f>(F2-A6)/365</f>
        <v>1.0547945205479452</v>
      </c>
      <c r="I6">
        <f>(G2-A6)/365</f>
        <v>1.0547945205479452</v>
      </c>
      <c r="J6" cm="1">
        <f t="array" ref="J6">BS_Delta("P",$B$6,F4,F6,H6,$C$6)</f>
        <v>-0.24398591780155721</v>
      </c>
      <c r="K6" cm="1">
        <f t="array" ref="K6">-BS_Delta("P",$B$6,G4,G6,I6,$C$6)</f>
        <v>0.14239046019547219</v>
      </c>
      <c r="L6">
        <f>1+K6+J6</f>
        <v>0.89840454239391498</v>
      </c>
      <c r="M6" cm="1">
        <f t="array" ref="M6">BS_Gamma($B$6,F4,F6,H6,$C$6)</f>
        <v>2.8613704435912705E-4</v>
      </c>
      <c r="N6" cm="1">
        <f t="array" ref="N6">BS_Gamma($B$6,G4,G6,I6,$C$6)</f>
        <v>1.9162207125679752E-4</v>
      </c>
      <c r="O6">
        <f>M6-N6</f>
        <v>9.4514973102329534E-5</v>
      </c>
      <c r="P6" cm="1">
        <f t="array" ref="P6">BS_Theta("P",$B$6,F4,F6,H6,$C$6)</f>
        <v>-106.60244183398994</v>
      </c>
      <c r="Q6" cm="1">
        <f t="array" ref="Q6">BS_Theta("P",$B$6,G4,G6,I6,$C$6)</f>
        <v>-92.932518143307036</v>
      </c>
      <c r="R6">
        <f>P6-Q6</f>
        <v>-13.669923690682907</v>
      </c>
      <c r="S6" cm="1">
        <f t="array" ref="S6">BS_Vega($B$6,F4,F6,H6,$C$6)</f>
        <v>1217.0037260331103</v>
      </c>
      <c r="T6" cm="1">
        <f t="array" ref="T6">BS_Vega($B$6,G4,G6,I6,$C$6)</f>
        <v>873.56176511929436</v>
      </c>
      <c r="U6">
        <f>S6-T6</f>
        <v>343.44196091381593</v>
      </c>
    </row>
    <row r="7" spans="1:21" x14ac:dyDescent="0.3">
      <c r="A7" s="3">
        <v>39601</v>
      </c>
      <c r="B7">
        <v>3720.5</v>
      </c>
      <c r="C7" s="7">
        <v>5.0970000000000001E-2</v>
      </c>
      <c r="D7" s="5">
        <v>202.3</v>
      </c>
      <c r="E7" s="5">
        <v>109.5</v>
      </c>
      <c r="F7" s="8">
        <v>0.28592579226362724</v>
      </c>
      <c r="G7" s="8">
        <v>0.30591813557594688</v>
      </c>
      <c r="H7">
        <f>($F$2-A7)/365</f>
        <v>1.0465753424657533</v>
      </c>
      <c r="I7">
        <f>($G$2-A7)/365</f>
        <v>1.0465753424657533</v>
      </c>
    </row>
    <row r="8" spans="1:21" x14ac:dyDescent="0.3">
      <c r="F8" s="9"/>
      <c r="G8" s="9"/>
    </row>
    <row r="10" spans="1:21" x14ac:dyDescent="0.3">
      <c r="B10" s="20"/>
    </row>
    <row r="12" spans="1:21" x14ac:dyDescent="0.3">
      <c r="J12" s="20"/>
    </row>
    <row r="13" spans="1:21" ht="15.6" x14ac:dyDescent="0.3">
      <c r="B13" s="24" t="s">
        <v>60</v>
      </c>
      <c r="C13" s="25"/>
      <c r="N13" s="24" t="s">
        <v>59</v>
      </c>
      <c r="O13" s="24"/>
    </row>
    <row r="15" spans="1:21" ht="15.6" x14ac:dyDescent="0.3">
      <c r="A15" s="24" t="s">
        <v>61</v>
      </c>
      <c r="B15" s="25"/>
      <c r="C15" s="25"/>
      <c r="D15" s="25"/>
      <c r="E15" s="25"/>
      <c r="F15" s="25"/>
      <c r="G15" s="25"/>
    </row>
    <row r="17" spans="1:21" x14ac:dyDescent="0.3">
      <c r="D17" t="s">
        <v>13</v>
      </c>
      <c r="E17" t="s">
        <v>18</v>
      </c>
      <c r="F17" t="s">
        <v>14</v>
      </c>
      <c r="P17" t="s">
        <v>13</v>
      </c>
      <c r="Q17" t="s">
        <v>18</v>
      </c>
      <c r="R17" t="s">
        <v>14</v>
      </c>
    </row>
    <row r="18" spans="1:21" x14ac:dyDescent="0.3">
      <c r="A18" t="s">
        <v>12</v>
      </c>
      <c r="B18">
        <f>$L$6*(F18)*$B$6+0.5*$O$6*(F18*$B$6)^2+D18*$S$6+$R$6*($A$7-$A$6)/365</f>
        <v>-47.344539578708726</v>
      </c>
      <c r="D18" s="9">
        <f>F7-F6</f>
        <v>3.398416487751299E-3</v>
      </c>
      <c r="E18">
        <f>B7-B6</f>
        <v>-57.349999999999909</v>
      </c>
      <c r="F18">
        <f>E18/B6</f>
        <v>-1.5180592135738557E-2</v>
      </c>
      <c r="M18" s="28" t="s">
        <v>12</v>
      </c>
      <c r="N18" s="29" cm="1">
        <f t="array" ref="N18">$B$6*R18 + (BS_Price("P",(1+R18)*$B$6,$F$4,(P18+$F$6),$H$7,$C$6)-$D$6) + (-BS_Price("P",(1+R18)*$B$6,$G$4,(P18+$G$6),$I$7,$C$6)+$E$6)</f>
        <v>-50.427685370986453</v>
      </c>
      <c r="P18" s="9">
        <f>G7-G6</f>
        <v>3.0937801288246081E-3</v>
      </c>
      <c r="Q18">
        <f>B7-B6</f>
        <v>-57.349999999999909</v>
      </c>
      <c r="R18">
        <f>Q18/B6</f>
        <v>-1.5180592135738557E-2</v>
      </c>
    </row>
    <row r="19" spans="1:21" ht="15" thickBot="1" x14ac:dyDescent="0.35"/>
    <row r="20" spans="1:21" ht="34.799999999999997" thickBot="1" x14ac:dyDescent="0.35">
      <c r="A20" s="10" t="s">
        <v>15</v>
      </c>
      <c r="B20" s="14"/>
      <c r="C20" s="11" t="s">
        <v>16</v>
      </c>
      <c r="D20" s="15"/>
      <c r="E20" s="15"/>
      <c r="F20" s="15"/>
      <c r="G20" s="15"/>
      <c r="H20" s="15"/>
      <c r="I20" s="16"/>
      <c r="M20" s="10" t="s">
        <v>15</v>
      </c>
      <c r="N20" s="14"/>
      <c r="O20" s="11" t="s">
        <v>16</v>
      </c>
      <c r="P20" s="15"/>
      <c r="Q20" s="15"/>
      <c r="R20" s="15"/>
      <c r="S20" s="15"/>
      <c r="T20" s="15"/>
      <c r="U20" s="16"/>
    </row>
    <row r="21" spans="1:21" ht="15" thickBot="1" x14ac:dyDescent="0.35">
      <c r="A21" s="17"/>
      <c r="B21">
        <f>B18</f>
        <v>-47.344539578708726</v>
      </c>
      <c r="C21" s="12">
        <v>-0.1</v>
      </c>
      <c r="D21" s="12">
        <v>-0.05</v>
      </c>
      <c r="E21" s="12">
        <v>-0.01</v>
      </c>
      <c r="F21" s="12">
        <v>0</v>
      </c>
      <c r="G21" s="12">
        <v>0.01</v>
      </c>
      <c r="H21" s="12">
        <v>0.05</v>
      </c>
      <c r="I21" s="12">
        <v>0.1</v>
      </c>
      <c r="M21" s="17"/>
      <c r="N21" s="20">
        <f>N18</f>
        <v>-50.427685370986453</v>
      </c>
      <c r="O21" s="12">
        <v>-0.1</v>
      </c>
      <c r="P21" s="12">
        <v>-0.05</v>
      </c>
      <c r="Q21" s="12">
        <v>-0.01</v>
      </c>
      <c r="R21" s="26">
        <v>0</v>
      </c>
      <c r="S21" s="12">
        <v>0.01</v>
      </c>
      <c r="T21" s="12">
        <v>0.05</v>
      </c>
      <c r="U21" s="12">
        <v>0.1</v>
      </c>
    </row>
    <row r="22" spans="1:21" ht="15" thickBot="1" x14ac:dyDescent="0.35">
      <c r="A22" s="31" t="s">
        <v>17</v>
      </c>
      <c r="B22" s="12">
        <v>-0.1</v>
      </c>
      <c r="C22" s="13">
        <f t="dataTable" ref="C22:I28" dt2D="1" dtr="1" r1="D18" r2="F18"/>
        <v>-454.47182852779008</v>
      </c>
      <c r="D22" s="13">
        <v>-393.62164222613455</v>
      </c>
      <c r="E22" s="13">
        <v>-344.94149318481016</v>
      </c>
      <c r="F22" s="13">
        <v>-332.77145592447903</v>
      </c>
      <c r="G22" s="13">
        <v>-320.6014186641479</v>
      </c>
      <c r="H22" s="13">
        <v>-271.9212696228235</v>
      </c>
      <c r="I22" s="13">
        <v>-211.07108332116798</v>
      </c>
      <c r="M22" s="31" t="s">
        <v>17</v>
      </c>
      <c r="N22" s="12">
        <v>-0.1</v>
      </c>
      <c r="O22" s="13">
        <f t="dataTable" ref="O22:U28" dt2D="1" dtr="1" r1="P18" r2="R18"/>
        <v>-364.73670604154506</v>
      </c>
      <c r="P22" s="13">
        <v>-346.54715666620348</v>
      </c>
      <c r="Q22" s="13">
        <v>-335.02377065921041</v>
      </c>
      <c r="R22" s="27">
        <v>-332.44810601699987</v>
      </c>
      <c r="S22" s="13">
        <v>-329.97444242399979</v>
      </c>
      <c r="T22" s="13">
        <v>-320.94669065885262</v>
      </c>
      <c r="U22" s="13">
        <v>-311.17529081307788</v>
      </c>
    </row>
    <row r="23" spans="1:21" ht="15" thickBot="1" x14ac:dyDescent="0.35">
      <c r="A23" s="32"/>
      <c r="B23" s="12">
        <v>-0.05</v>
      </c>
      <c r="C23" s="13">
        <v>-289.82844324938986</v>
      </c>
      <c r="D23" s="13">
        <v>-228.97825694773437</v>
      </c>
      <c r="E23" s="13">
        <v>-180.29810790640994</v>
      </c>
      <c r="F23" s="13">
        <v>-168.12807064607884</v>
      </c>
      <c r="G23" s="13">
        <v>-155.95803338574774</v>
      </c>
      <c r="H23" s="13">
        <v>-107.2778843444233</v>
      </c>
      <c r="I23" s="13">
        <v>-46.427698042767794</v>
      </c>
      <c r="M23" s="32"/>
      <c r="N23" s="12">
        <v>-0.05</v>
      </c>
      <c r="O23" s="13">
        <v>-206.64233328530344</v>
      </c>
      <c r="P23" s="13">
        <v>-185.2212117974363</v>
      </c>
      <c r="Q23" s="13">
        <v>-171.19012749800578</v>
      </c>
      <c r="R23" s="27">
        <v>-168.027796501571</v>
      </c>
      <c r="S23" s="13">
        <v>-164.98552365199888</v>
      </c>
      <c r="T23" s="13">
        <v>-153.86492825079739</v>
      </c>
      <c r="U23" s="13">
        <v>-141.85895278777474</v>
      </c>
    </row>
    <row r="24" spans="1:21" ht="15" thickBot="1" x14ac:dyDescent="0.35">
      <c r="A24" s="32"/>
      <c r="B24" s="12">
        <v>-0.01</v>
      </c>
      <c r="C24" s="13">
        <v>-155.68565754871338</v>
      </c>
      <c r="D24" s="13">
        <v>-94.835471247057839</v>
      </c>
      <c r="E24" s="13">
        <v>-46.15532220573342</v>
      </c>
      <c r="F24" s="13">
        <v>-33.98528494540232</v>
      </c>
      <c r="G24" s="13">
        <v>-21.815247685071217</v>
      </c>
      <c r="H24" s="13">
        <v>26.864901356253199</v>
      </c>
      <c r="I24" s="13">
        <v>87.715087657908725</v>
      </c>
      <c r="M24" s="32"/>
      <c r="N24" s="12">
        <v>-0.01</v>
      </c>
      <c r="O24" s="13">
        <v>-74.449540120928788</v>
      </c>
      <c r="P24" s="13">
        <v>-52.481198717516278</v>
      </c>
      <c r="Q24" s="13">
        <v>-37.419524116710257</v>
      </c>
      <c r="R24" s="27">
        <v>-33.973520098503407</v>
      </c>
      <c r="S24" s="13">
        <v>-30.64409420258918</v>
      </c>
      <c r="T24" s="13">
        <v>-18.378785049803092</v>
      </c>
      <c r="U24" s="13">
        <v>-5.0283220443486982</v>
      </c>
    </row>
    <row r="25" spans="1:21" ht="15" thickBot="1" x14ac:dyDescent="0.35">
      <c r="A25" s="32"/>
      <c r="B25" s="12">
        <v>0</v>
      </c>
      <c r="C25" s="13">
        <v>-121.81272814049473</v>
      </c>
      <c r="D25" s="13">
        <v>-60.962541838839215</v>
      </c>
      <c r="E25" s="13">
        <v>-12.282392797514799</v>
      </c>
      <c r="F25" s="13">
        <v>-0.11235553718369513</v>
      </c>
      <c r="G25" s="13">
        <v>12.057681723147407</v>
      </c>
      <c r="H25" s="13">
        <v>60.737830764471823</v>
      </c>
      <c r="I25" s="13">
        <v>121.58801706612735</v>
      </c>
      <c r="M25" s="32"/>
      <c r="N25" s="26">
        <v>0</v>
      </c>
      <c r="O25" s="27">
        <v>-40.670349652720589</v>
      </c>
      <c r="P25" s="27">
        <v>-18.801464132848466</v>
      </c>
      <c r="Q25" s="27">
        <v>-3.6061522570321642</v>
      </c>
      <c r="R25" s="27">
        <v>-0.11356098481094534</v>
      </c>
      <c r="S25" s="27">
        <v>3.2654783497092126</v>
      </c>
      <c r="T25" s="27">
        <v>15.745793661886523</v>
      </c>
      <c r="U25" s="27">
        <v>29.371537541344111</v>
      </c>
    </row>
    <row r="26" spans="1:21" ht="15" thickBot="1" x14ac:dyDescent="0.35">
      <c r="A26" s="32"/>
      <c r="B26" s="12">
        <v>0.01</v>
      </c>
      <c r="C26" s="13">
        <v>-87.804905539056307</v>
      </c>
      <c r="D26" s="13">
        <v>-26.954719237400795</v>
      </c>
      <c r="E26" s="13">
        <v>21.725429803923621</v>
      </c>
      <c r="F26" s="13">
        <v>33.895467064254724</v>
      </c>
      <c r="G26" s="13">
        <v>46.065504324585824</v>
      </c>
      <c r="H26" s="13">
        <v>94.745653365910258</v>
      </c>
      <c r="I26" s="13">
        <v>155.59583966756577</v>
      </c>
      <c r="M26" s="32"/>
      <c r="N26" s="12">
        <v>0.01</v>
      </c>
      <c r="O26" s="13">
        <v>-6.6198308885086163</v>
      </c>
      <c r="P26" s="13">
        <v>15.068852866404093</v>
      </c>
      <c r="Q26" s="13">
        <v>30.352214686836568</v>
      </c>
      <c r="R26" s="27">
        <v>33.882237053750295</v>
      </c>
      <c r="S26" s="13">
        <v>37.302488789663961</v>
      </c>
      <c r="T26" s="13">
        <v>49.970500763690353</v>
      </c>
      <c r="U26" s="13">
        <v>63.847790021986128</v>
      </c>
    </row>
    <row r="27" spans="1:21" ht="15" thickBot="1" x14ac:dyDescent="0.35">
      <c r="A27" s="32"/>
      <c r="B27" s="12">
        <v>0.05</v>
      </c>
      <c r="C27" s="13">
        <v>49.575316798895351</v>
      </c>
      <c r="D27" s="13">
        <v>110.42550310055087</v>
      </c>
      <c r="E27" s="13">
        <v>159.10565214187528</v>
      </c>
      <c r="F27" s="13">
        <v>171.27568940220638</v>
      </c>
      <c r="G27" s="13">
        <v>183.44572666253748</v>
      </c>
      <c r="H27" s="13">
        <v>232.12587570386191</v>
      </c>
      <c r="I27" s="13">
        <v>292.97606200551741</v>
      </c>
      <c r="M27" s="32"/>
      <c r="N27" s="12">
        <v>0.05</v>
      </c>
      <c r="O27" s="13">
        <v>132.05850515069747</v>
      </c>
      <c r="P27" s="13">
        <v>152.3620654255372</v>
      </c>
      <c r="Q27" s="13">
        <v>167.58838394775836</v>
      </c>
      <c r="R27" s="27">
        <v>171.18366049136893</v>
      </c>
      <c r="S27" s="13">
        <v>174.69064745834203</v>
      </c>
      <c r="T27" s="13">
        <v>187.8517041396195</v>
      </c>
      <c r="U27" s="13">
        <v>202.5067629288389</v>
      </c>
    </row>
    <row r="28" spans="1:21" ht="15" thickBot="1" x14ac:dyDescent="0.35">
      <c r="A28" s="33"/>
      <c r="B28" s="12">
        <v>0.1</v>
      </c>
      <c r="C28" s="13">
        <v>224.33569156878036</v>
      </c>
      <c r="D28" s="13">
        <v>285.18587787043589</v>
      </c>
      <c r="E28" s="13">
        <v>333.86602691176029</v>
      </c>
      <c r="F28" s="13">
        <v>346.03606417209141</v>
      </c>
      <c r="G28" s="13">
        <v>358.20610143242254</v>
      </c>
      <c r="H28" s="13">
        <v>406.88625047374694</v>
      </c>
      <c r="I28" s="13">
        <v>467.73643677540247</v>
      </c>
      <c r="M28" s="33"/>
      <c r="N28" s="12">
        <v>0.1</v>
      </c>
      <c r="O28" s="13">
        <v>310.06626061635779</v>
      </c>
      <c r="P28" s="13">
        <v>327.65299153615638</v>
      </c>
      <c r="Q28" s="13">
        <v>342.07200014363775</v>
      </c>
      <c r="R28" s="27">
        <v>345.5882962312163</v>
      </c>
      <c r="S28" s="13">
        <v>349.05288838584653</v>
      </c>
      <c r="T28" s="13">
        <v>362.31769719613897</v>
      </c>
      <c r="U28" s="13">
        <v>377.47310724378951</v>
      </c>
    </row>
    <row r="39" spans="1:9" ht="15.6" x14ac:dyDescent="0.3">
      <c r="A39" s="24" t="s">
        <v>62</v>
      </c>
      <c r="B39" s="25"/>
      <c r="C39" s="25"/>
    </row>
    <row r="41" spans="1:9" x14ac:dyDescent="0.3">
      <c r="D41" t="s">
        <v>13</v>
      </c>
      <c r="E41" t="s">
        <v>18</v>
      </c>
      <c r="F41" t="s">
        <v>14</v>
      </c>
    </row>
    <row r="42" spans="1:9" ht="15" thickBot="1" x14ac:dyDescent="0.35">
      <c r="A42" t="s">
        <v>12</v>
      </c>
      <c r="B42">
        <f>-D42*$T$6</f>
        <v>-2.7026080302270223</v>
      </c>
      <c r="D42" s="9">
        <f>G7-G6</f>
        <v>3.0937801288246081E-3</v>
      </c>
      <c r="E42">
        <f>B7-B6</f>
        <v>-57.349999999999909</v>
      </c>
      <c r="F42">
        <f>E42/B6</f>
        <v>-1.5180592135738557E-2</v>
      </c>
    </row>
    <row r="43" spans="1:9" ht="34.799999999999997" thickBot="1" x14ac:dyDescent="0.35">
      <c r="A43" s="10" t="s">
        <v>15</v>
      </c>
      <c r="B43" s="14"/>
      <c r="C43" s="11" t="s">
        <v>16</v>
      </c>
      <c r="D43" s="15"/>
      <c r="E43" s="15"/>
      <c r="F43" s="15"/>
      <c r="G43" s="15"/>
      <c r="H43" s="15"/>
      <c r="I43" s="16"/>
    </row>
    <row r="44" spans="1:9" ht="15" thickBot="1" x14ac:dyDescent="0.35">
      <c r="A44" s="17"/>
      <c r="B44">
        <f>B42</f>
        <v>-2.7026080302270223</v>
      </c>
      <c r="C44" s="12">
        <v>-0.1</v>
      </c>
      <c r="D44" s="12">
        <v>-0.05</v>
      </c>
      <c r="E44" s="12">
        <v>-0.01</v>
      </c>
      <c r="F44" s="12">
        <v>0</v>
      </c>
      <c r="G44" s="12">
        <v>0.01</v>
      </c>
      <c r="H44" s="12">
        <v>0.05</v>
      </c>
      <c r="I44" s="12">
        <v>0.1</v>
      </c>
    </row>
    <row r="45" spans="1:9" ht="15" thickBot="1" x14ac:dyDescent="0.35">
      <c r="A45" s="31" t="s">
        <v>17</v>
      </c>
      <c r="B45" s="12">
        <v>-0.1</v>
      </c>
      <c r="C45" s="13">
        <f t="dataTable" ref="C45:I51" dt2D="1" dtr="1" r1="D42" r2="F42"/>
        <v>87.356176511929448</v>
      </c>
      <c r="D45" s="13">
        <v>43.678088255964724</v>
      </c>
      <c r="E45" s="13">
        <v>8.7356176511929444</v>
      </c>
      <c r="F45" s="13">
        <v>0</v>
      </c>
      <c r="G45" s="13">
        <v>-8.7356176511929444</v>
      </c>
      <c r="H45" s="13">
        <v>-43.678088255964724</v>
      </c>
      <c r="I45" s="13">
        <v>-87.356176511929448</v>
      </c>
    </row>
    <row r="46" spans="1:9" ht="15" thickBot="1" x14ac:dyDescent="0.35">
      <c r="A46" s="32"/>
      <c r="B46" s="12">
        <v>-0.05</v>
      </c>
      <c r="C46" s="13">
        <v>87.356176511929448</v>
      </c>
      <c r="D46" s="13">
        <v>43.678088255964724</v>
      </c>
      <c r="E46" s="13">
        <v>8.7356176511929444</v>
      </c>
      <c r="F46" s="13">
        <v>0</v>
      </c>
      <c r="G46" s="13">
        <v>-8.7356176511929444</v>
      </c>
      <c r="H46" s="13">
        <v>-43.678088255964724</v>
      </c>
      <c r="I46" s="13">
        <v>-87.356176511929448</v>
      </c>
    </row>
    <row r="47" spans="1:9" ht="15" thickBot="1" x14ac:dyDescent="0.35">
      <c r="A47" s="32"/>
      <c r="B47" s="12">
        <v>-0.01</v>
      </c>
      <c r="C47" s="13">
        <v>87.356176511929448</v>
      </c>
      <c r="D47" s="13">
        <v>43.678088255964724</v>
      </c>
      <c r="E47" s="13">
        <v>8.7356176511929444</v>
      </c>
      <c r="F47" s="13">
        <v>0</v>
      </c>
      <c r="G47" s="13">
        <v>-8.7356176511929444</v>
      </c>
      <c r="H47" s="13">
        <v>-43.678088255964724</v>
      </c>
      <c r="I47" s="13">
        <v>-87.356176511929448</v>
      </c>
    </row>
    <row r="48" spans="1:9" ht="15" thickBot="1" x14ac:dyDescent="0.35">
      <c r="A48" s="32"/>
      <c r="B48" s="12">
        <v>0</v>
      </c>
      <c r="C48" s="13">
        <v>87.356176511929448</v>
      </c>
      <c r="D48" s="13">
        <v>43.678088255964724</v>
      </c>
      <c r="E48" s="13">
        <v>8.7356176511929444</v>
      </c>
      <c r="F48" s="13">
        <v>0</v>
      </c>
      <c r="G48" s="13">
        <v>-8.7356176511929444</v>
      </c>
      <c r="H48" s="13">
        <v>-43.678088255964724</v>
      </c>
      <c r="I48" s="13">
        <v>-87.356176511929448</v>
      </c>
    </row>
    <row r="49" spans="1:9" ht="15" thickBot="1" x14ac:dyDescent="0.35">
      <c r="A49" s="32"/>
      <c r="B49" s="12">
        <v>0.01</v>
      </c>
      <c r="C49" s="13">
        <v>87.356176511929448</v>
      </c>
      <c r="D49" s="13">
        <v>43.678088255964724</v>
      </c>
      <c r="E49" s="13">
        <v>8.7356176511929444</v>
      </c>
      <c r="F49" s="13">
        <v>0</v>
      </c>
      <c r="G49" s="13">
        <v>-8.7356176511929444</v>
      </c>
      <c r="H49" s="13">
        <v>-43.678088255964724</v>
      </c>
      <c r="I49" s="13">
        <v>-87.356176511929448</v>
      </c>
    </row>
    <row r="50" spans="1:9" ht="15" thickBot="1" x14ac:dyDescent="0.35">
      <c r="A50" s="32"/>
      <c r="B50" s="12">
        <v>0.05</v>
      </c>
      <c r="C50" s="13">
        <v>87.356176511929448</v>
      </c>
      <c r="D50" s="13">
        <v>43.678088255964724</v>
      </c>
      <c r="E50" s="13">
        <v>8.7356176511929444</v>
      </c>
      <c r="F50" s="13">
        <v>0</v>
      </c>
      <c r="G50" s="13">
        <v>-8.7356176511929444</v>
      </c>
      <c r="H50" s="13">
        <v>-43.678088255964724</v>
      </c>
      <c r="I50" s="13">
        <v>-87.356176511929448</v>
      </c>
    </row>
    <row r="51" spans="1:9" ht="15" thickBot="1" x14ac:dyDescent="0.35">
      <c r="A51" s="33"/>
      <c r="B51" s="12">
        <v>0.1</v>
      </c>
      <c r="C51" s="13">
        <v>87.356176511929448</v>
      </c>
      <c r="D51" s="13">
        <v>43.678088255964724</v>
      </c>
      <c r="E51" s="13">
        <v>8.7356176511929444</v>
      </c>
      <c r="F51" s="13">
        <v>0</v>
      </c>
      <c r="G51" s="13">
        <v>-8.7356176511929444</v>
      </c>
      <c r="H51" s="13">
        <v>-43.678088255964724</v>
      </c>
      <c r="I51" s="13">
        <v>-87.356176511929448</v>
      </c>
    </row>
    <row r="56" spans="1:9" ht="15.6" x14ac:dyDescent="0.3">
      <c r="A56" s="24" t="s">
        <v>63</v>
      </c>
      <c r="B56" s="25"/>
    </row>
    <row r="57" spans="1:9" ht="15" thickBot="1" x14ac:dyDescent="0.35">
      <c r="A57" s="28" t="s">
        <v>12</v>
      </c>
      <c r="B57" s="28">
        <f>B42+B18</f>
        <v>-50.047147608935745</v>
      </c>
    </row>
    <row r="58" spans="1:9" ht="34.799999999999997" thickBot="1" x14ac:dyDescent="0.35">
      <c r="A58" s="10" t="s">
        <v>15</v>
      </c>
      <c r="B58" s="14"/>
      <c r="C58" s="11" t="s">
        <v>16</v>
      </c>
      <c r="D58" s="15"/>
      <c r="E58" s="15"/>
      <c r="F58" s="15"/>
      <c r="G58" s="15"/>
      <c r="H58" s="15"/>
      <c r="I58" s="16"/>
    </row>
    <row r="59" spans="1:9" ht="15" thickBot="1" x14ac:dyDescent="0.35">
      <c r="A59" s="17"/>
      <c r="B59">
        <f>B57</f>
        <v>-50.047147608935745</v>
      </c>
      <c r="C59" s="12">
        <v>-0.1</v>
      </c>
      <c r="D59" s="12">
        <v>-0.05</v>
      </c>
      <c r="E59" s="12">
        <v>-0.01</v>
      </c>
      <c r="F59" s="26">
        <v>0</v>
      </c>
      <c r="G59" s="12">
        <v>0.01</v>
      </c>
      <c r="H59" s="12">
        <v>0.05</v>
      </c>
      <c r="I59" s="12">
        <v>0.1</v>
      </c>
    </row>
    <row r="60" spans="1:9" ht="15" thickBot="1" x14ac:dyDescent="0.35">
      <c r="A60" s="31" t="s">
        <v>17</v>
      </c>
      <c r="B60" s="12">
        <v>-0.1</v>
      </c>
      <c r="C60" s="13">
        <f>C45+C22</f>
        <v>-367.11565201586063</v>
      </c>
      <c r="D60" s="13">
        <f t="shared" ref="D60:I60" si="0">D45+D22</f>
        <v>-349.94355397016983</v>
      </c>
      <c r="E60" s="13">
        <f t="shared" si="0"/>
        <v>-336.20587553361719</v>
      </c>
      <c r="F60" s="27">
        <f t="shared" si="0"/>
        <v>-332.77145592447903</v>
      </c>
      <c r="G60" s="13">
        <f t="shared" si="0"/>
        <v>-329.33703631534087</v>
      </c>
      <c r="H60" s="13">
        <f t="shared" si="0"/>
        <v>-315.59935787878823</v>
      </c>
      <c r="I60" s="13">
        <f t="shared" si="0"/>
        <v>-298.42725983309742</v>
      </c>
    </row>
    <row r="61" spans="1:9" ht="15" thickBot="1" x14ac:dyDescent="0.35">
      <c r="A61" s="32"/>
      <c r="B61" s="12">
        <v>-0.05</v>
      </c>
      <c r="C61" s="13">
        <f t="shared" ref="C61:I66" si="1">C46+C23</f>
        <v>-202.47226673746042</v>
      </c>
      <c r="D61" s="13">
        <f t="shared" si="1"/>
        <v>-185.30016869176964</v>
      </c>
      <c r="E61" s="13">
        <f t="shared" si="1"/>
        <v>-171.562490255217</v>
      </c>
      <c r="F61" s="27">
        <f t="shared" si="1"/>
        <v>-168.12807064607884</v>
      </c>
      <c r="G61" s="13">
        <f t="shared" si="1"/>
        <v>-164.69365103694068</v>
      </c>
      <c r="H61" s="13">
        <f t="shared" si="1"/>
        <v>-150.95597260038801</v>
      </c>
      <c r="I61" s="13">
        <f t="shared" si="1"/>
        <v>-133.78387455469723</v>
      </c>
    </row>
    <row r="62" spans="1:9" ht="15" thickBot="1" x14ac:dyDescent="0.35">
      <c r="A62" s="32"/>
      <c r="B62" s="12">
        <v>-0.01</v>
      </c>
      <c r="C62" s="13">
        <f t="shared" si="1"/>
        <v>-68.329481036783932</v>
      </c>
      <c r="D62" s="13">
        <f t="shared" si="1"/>
        <v>-51.157382991093115</v>
      </c>
      <c r="E62" s="13">
        <f t="shared" si="1"/>
        <v>-37.419704554540473</v>
      </c>
      <c r="F62" s="27">
        <f t="shared" si="1"/>
        <v>-33.98528494540232</v>
      </c>
      <c r="G62" s="13">
        <f t="shared" si="1"/>
        <v>-30.55086533626416</v>
      </c>
      <c r="H62" s="13">
        <f t="shared" si="1"/>
        <v>-16.813186899711525</v>
      </c>
      <c r="I62" s="13">
        <f t="shared" si="1"/>
        <v>0.35891114597927753</v>
      </c>
    </row>
    <row r="63" spans="1:9" ht="15" thickBot="1" x14ac:dyDescent="0.35">
      <c r="A63" s="32"/>
      <c r="B63" s="26">
        <v>0</v>
      </c>
      <c r="C63" s="27">
        <f t="shared" si="1"/>
        <v>-34.456551628565279</v>
      </c>
      <c r="D63" s="27">
        <f t="shared" si="1"/>
        <v>-17.284453582874491</v>
      </c>
      <c r="E63" s="27">
        <f t="shared" si="1"/>
        <v>-3.5467751463218544</v>
      </c>
      <c r="F63" s="27">
        <f t="shared" si="1"/>
        <v>-0.11235553718369513</v>
      </c>
      <c r="G63" s="27">
        <f t="shared" si="1"/>
        <v>3.322064071954463</v>
      </c>
      <c r="H63" s="27">
        <f t="shared" si="1"/>
        <v>17.0597425085071</v>
      </c>
      <c r="I63" s="27">
        <f t="shared" si="1"/>
        <v>34.231840554197902</v>
      </c>
    </row>
    <row r="64" spans="1:9" ht="15" thickBot="1" x14ac:dyDescent="0.35">
      <c r="A64" s="32"/>
      <c r="B64" s="12">
        <v>0.01</v>
      </c>
      <c r="C64" s="13">
        <f t="shared" si="1"/>
        <v>-0.44872902712685914</v>
      </c>
      <c r="D64" s="13">
        <f t="shared" si="1"/>
        <v>16.723369018563929</v>
      </c>
      <c r="E64" s="13">
        <f t="shared" si="1"/>
        <v>30.461047455116564</v>
      </c>
      <c r="F64" s="27">
        <f t="shared" si="1"/>
        <v>33.895467064254724</v>
      </c>
      <c r="G64" s="13">
        <f t="shared" si="1"/>
        <v>37.329886673392878</v>
      </c>
      <c r="H64" s="13">
        <f t="shared" si="1"/>
        <v>51.067565109945534</v>
      </c>
      <c r="I64" s="13">
        <f t="shared" si="1"/>
        <v>68.239663155636322</v>
      </c>
    </row>
    <row r="65" spans="1:9" ht="15" thickBot="1" x14ac:dyDescent="0.35">
      <c r="A65" s="32"/>
      <c r="B65" s="12">
        <v>0.05</v>
      </c>
      <c r="C65" s="13">
        <f t="shared" si="1"/>
        <v>136.93149331082481</v>
      </c>
      <c r="D65" s="13">
        <f t="shared" si="1"/>
        <v>154.10359135651561</v>
      </c>
      <c r="E65" s="13">
        <f t="shared" si="1"/>
        <v>167.84126979306822</v>
      </c>
      <c r="F65" s="27">
        <f t="shared" si="1"/>
        <v>171.27568940220638</v>
      </c>
      <c r="G65" s="13">
        <f t="shared" si="1"/>
        <v>174.71010901134454</v>
      </c>
      <c r="H65" s="13">
        <f t="shared" si="1"/>
        <v>188.44778744789718</v>
      </c>
      <c r="I65" s="13">
        <f t="shared" si="1"/>
        <v>205.61988549358796</v>
      </c>
    </row>
    <row r="66" spans="1:9" ht="15" thickBot="1" x14ac:dyDescent="0.35">
      <c r="A66" s="33"/>
      <c r="B66" s="12">
        <v>0.1</v>
      </c>
      <c r="C66" s="13">
        <f t="shared" si="1"/>
        <v>311.69186808070981</v>
      </c>
      <c r="D66" s="13">
        <f t="shared" si="1"/>
        <v>328.86396612640061</v>
      </c>
      <c r="E66" s="13">
        <f t="shared" si="1"/>
        <v>342.60164456295325</v>
      </c>
      <c r="F66" s="27">
        <f t="shared" si="1"/>
        <v>346.03606417209141</v>
      </c>
      <c r="G66" s="13">
        <f t="shared" si="1"/>
        <v>349.47048378122958</v>
      </c>
      <c r="H66" s="13">
        <f t="shared" si="1"/>
        <v>363.20816221778222</v>
      </c>
      <c r="I66" s="13">
        <f t="shared" si="1"/>
        <v>380.38026026347302</v>
      </c>
    </row>
  </sheetData>
  <mergeCells count="4">
    <mergeCell ref="A22:A28"/>
    <mergeCell ref="M22:M28"/>
    <mergeCell ref="A45:A51"/>
    <mergeCell ref="A60:A66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DDF103-963D-4581-A50E-EC58ADE629B7}">
  <sheetPr codeName="Feuil5"/>
  <dimension ref="A1:AB50"/>
  <sheetViews>
    <sheetView tabSelected="1" topLeftCell="C62" workbookViewId="0">
      <selection activeCell="AD10" sqref="AD10"/>
    </sheetView>
  </sheetViews>
  <sheetFormatPr baseColWidth="10" defaultRowHeight="14.4" x14ac:dyDescent="0.3"/>
  <cols>
    <col min="8" max="8" width="12" bestFit="1" customWidth="1"/>
    <col min="11" max="11" width="17.5546875" customWidth="1"/>
    <col min="13" max="13" width="15.77734375" customWidth="1"/>
    <col min="20" max="20" width="16.88671875" customWidth="1"/>
    <col min="22" max="22" width="17" customWidth="1"/>
    <col min="23" max="23" width="14.5546875" customWidth="1"/>
    <col min="24" max="24" width="16.44140625" customWidth="1"/>
    <col min="26" max="26" width="16.21875" customWidth="1"/>
    <col min="28" max="28" width="20.77734375" customWidth="1"/>
  </cols>
  <sheetData>
    <row r="1" spans="1:28" x14ac:dyDescent="0.3">
      <c r="A1" s="1"/>
      <c r="B1" s="1"/>
      <c r="C1" s="1"/>
      <c r="D1" s="2" t="s">
        <v>0</v>
      </c>
      <c r="E1" s="2" t="s">
        <v>0</v>
      </c>
    </row>
    <row r="2" spans="1:28" x14ac:dyDescent="0.3">
      <c r="D2" s="3">
        <v>39983</v>
      </c>
      <c r="E2" s="3">
        <f>D2</f>
        <v>39983</v>
      </c>
    </row>
    <row r="3" spans="1:28" x14ac:dyDescent="0.3">
      <c r="A3" s="1"/>
      <c r="B3" s="1"/>
      <c r="C3" s="1"/>
      <c r="D3" s="4" t="s">
        <v>1</v>
      </c>
      <c r="E3" s="4" t="s">
        <v>1</v>
      </c>
    </row>
    <row r="4" spans="1:28" x14ac:dyDescent="0.3">
      <c r="A4" s="3"/>
      <c r="D4" s="5">
        <v>3400</v>
      </c>
      <c r="E4" s="5">
        <v>3400</v>
      </c>
    </row>
    <row r="5" spans="1:28" ht="28.8" x14ac:dyDescent="0.3">
      <c r="A5" s="2" t="s">
        <v>2</v>
      </c>
      <c r="B5" s="6" t="s">
        <v>3</v>
      </c>
      <c r="C5" s="6" t="s">
        <v>4</v>
      </c>
      <c r="D5" s="6" t="s">
        <v>5</v>
      </c>
      <c r="E5" s="6" t="s">
        <v>6</v>
      </c>
      <c r="F5" s="6" t="s">
        <v>7</v>
      </c>
      <c r="G5" s="6" t="s">
        <v>11</v>
      </c>
      <c r="H5" s="6" t="s">
        <v>8</v>
      </c>
      <c r="I5" s="6" t="s">
        <v>9</v>
      </c>
      <c r="J5" s="6" t="s">
        <v>10</v>
      </c>
      <c r="K5" s="6" t="s">
        <v>34</v>
      </c>
      <c r="L5" s="6" t="s">
        <v>35</v>
      </c>
      <c r="M5" s="6" t="s">
        <v>36</v>
      </c>
      <c r="N5" s="6" t="s">
        <v>37</v>
      </c>
      <c r="O5" s="6" t="s">
        <v>38</v>
      </c>
      <c r="P5" s="6" t="s">
        <v>33</v>
      </c>
      <c r="Q5" s="6" t="s">
        <v>41</v>
      </c>
      <c r="R5" s="6" t="s">
        <v>39</v>
      </c>
      <c r="S5" s="6" t="s">
        <v>40</v>
      </c>
      <c r="T5" s="22" t="s">
        <v>42</v>
      </c>
      <c r="U5" s="6" t="s">
        <v>43</v>
      </c>
      <c r="V5" s="6" t="s">
        <v>44</v>
      </c>
      <c r="W5" s="6" t="s">
        <v>46</v>
      </c>
      <c r="X5" s="6" t="s">
        <v>45</v>
      </c>
      <c r="Y5" s="6" t="s">
        <v>47</v>
      </c>
      <c r="Z5" s="6" t="s">
        <v>48</v>
      </c>
      <c r="AA5" s="6" t="s">
        <v>49</v>
      </c>
      <c r="AB5" s="22" t="s">
        <v>58</v>
      </c>
    </row>
    <row r="6" spans="1:28" x14ac:dyDescent="0.3">
      <c r="A6" s="3">
        <v>39598</v>
      </c>
      <c r="B6">
        <v>3777.85</v>
      </c>
      <c r="C6" s="7">
        <v>5.0970000000000001E-2</v>
      </c>
      <c r="D6" s="5">
        <v>184.5</v>
      </c>
      <c r="E6" s="8">
        <v>0.28252737577587594</v>
      </c>
      <c r="F6" s="23">
        <f>($E$2-A6)/365</f>
        <v>1.0547945205479452</v>
      </c>
      <c r="G6" cm="1">
        <f t="array" ref="G6">BS_Delta("P",B6,$D$4,E6,F6,C6)+1</f>
        <v>0.75601408219844279</v>
      </c>
      <c r="H6" cm="1">
        <f t="array" ref="H6">BS_Gamma(B6,$D$4,E6,F6,C6)</f>
        <v>2.8613704435912705E-4</v>
      </c>
      <c r="I6" cm="1">
        <f t="array" ref="I6">BS_Theta("P",B6,$D$4,E6,F6,C6)</f>
        <v>-106.60244183398994</v>
      </c>
      <c r="J6" cm="1">
        <f t="array" ref="J6">BS_Vega(B6,$D$4,E6,F6,C6)</f>
        <v>1217.0037260331103</v>
      </c>
      <c r="K6" cm="1">
        <f t="array" ref="K6">VolatiliteRealisee(B6:B50)*252^0.5</f>
        <v>3.4453819665184686</v>
      </c>
      <c r="L6">
        <f>($D$2-A6)/365</f>
        <v>1.0547945205479452</v>
      </c>
      <c r="M6" cm="1">
        <f t="array" ref="M6">BS_Price("P",B6,$D$4,E6,F6,C6)</f>
        <v>184.50000000000028</v>
      </c>
    </row>
    <row r="7" spans="1:28" x14ac:dyDescent="0.3">
      <c r="A7" s="3">
        <v>39601</v>
      </c>
      <c r="B7">
        <v>3720.5</v>
      </c>
      <c r="C7" s="7">
        <v>5.0970000000000001E-2</v>
      </c>
      <c r="D7" s="5">
        <v>202.3</v>
      </c>
      <c r="E7" s="8">
        <v>0.28592579226362724</v>
      </c>
      <c r="F7" s="23">
        <f t="shared" ref="F7:F50" si="0">($E$2-A7)/365</f>
        <v>1.0465753424657533</v>
      </c>
      <c r="G7" cm="1">
        <f t="array" ref="G7">BS_Delta("P",B7,$D$4,E7,F7,C7)+1</f>
        <v>0.73780312255675684</v>
      </c>
      <c r="H7" cm="1">
        <f t="array" ref="H7">BS_Gamma(B7,$D$4,E7,F7,C7)</f>
        <v>2.9934548616052743E-4</v>
      </c>
      <c r="I7" cm="1">
        <f t="array" ref="I7">BS_Theta("P",B7,$D$4,E7,F7,C7)</f>
        <v>-109.34340714766397</v>
      </c>
      <c r="J7" cm="1">
        <f t="array" ref="J7">BS_Vega(B7,$D$4,E7,F7,C7)</f>
        <v>1239.9356966948453</v>
      </c>
      <c r="L7">
        <f t="shared" ref="L7:L50" si="1">($D$2-A7)/365</f>
        <v>1.0465753424657533</v>
      </c>
      <c r="M7" cm="1">
        <f t="array" ref="M7">BS_Price("P",B7,$D$4,E7,C7,F7)</f>
        <v>1.0259277765434907</v>
      </c>
      <c r="N7">
        <f>(B7-B6)/B6</f>
        <v>-1.5180592135738557E-2</v>
      </c>
      <c r="O7">
        <f>N7+O6</f>
        <v>-1.5180592135738557E-2</v>
      </c>
      <c r="P7">
        <f>B7-B6</f>
        <v>-57.349999999999909</v>
      </c>
      <c r="Q7">
        <f>P7+Q6</f>
        <v>-57.349999999999909</v>
      </c>
      <c r="R7" s="20">
        <f>D7-D6</f>
        <v>17.800000000000011</v>
      </c>
      <c r="S7" s="20">
        <f>P7+R7</f>
        <v>-39.549999999999898</v>
      </c>
      <c r="T7" s="20">
        <f>S7+T6</f>
        <v>-39.549999999999898</v>
      </c>
      <c r="U7">
        <f>G6*P7</f>
        <v>-43.357407614080628</v>
      </c>
      <c r="V7">
        <f>U7+V6</f>
        <v>-43.357407614080628</v>
      </c>
      <c r="W7">
        <f>H6*(P7)^2*0.5+I6*(A7-A6)/365</f>
        <v>-0.40562886493972239</v>
      </c>
      <c r="X7">
        <f>W7+X6</f>
        <v>-0.40562886493972239</v>
      </c>
      <c r="Y7">
        <f>J6*(E7-E6)</f>
        <v>4.1358855282056872</v>
      </c>
      <c r="Z7">
        <f>Y7+Z6</f>
        <v>4.1358855282056872</v>
      </c>
      <c r="AA7">
        <f>Y7+W7+U7</f>
        <v>-39.627150950814666</v>
      </c>
      <c r="AB7">
        <f>AA7+AB6</f>
        <v>-39.627150950814666</v>
      </c>
    </row>
    <row r="8" spans="1:28" x14ac:dyDescent="0.3">
      <c r="A8" s="3">
        <v>39602</v>
      </c>
      <c r="B8">
        <v>3737.34</v>
      </c>
      <c r="C8" s="7">
        <v>5.0930000000000003E-2</v>
      </c>
      <c r="D8" s="5">
        <v>195.2</v>
      </c>
      <c r="E8" s="8">
        <v>0.28391453963524355</v>
      </c>
      <c r="F8" s="23">
        <f t="shared" si="0"/>
        <v>1.0438356164383562</v>
      </c>
      <c r="G8" cm="1">
        <f t="array" ref="G8">BS_Delta("P",B8,$D$4,E8,F8,C8)+1</f>
        <v>0.74358350923306349</v>
      </c>
      <c r="H8" cm="1">
        <f t="array" ref="H8">BS_Gamma(B8,$D$4,E8,F8,C8)</f>
        <v>2.970594946220257E-4</v>
      </c>
      <c r="I8" cm="1">
        <f t="array" ref="I8">BS_Theta("P",B8,$D$4,E8,F8,C8)</f>
        <v>-108.48134934666065</v>
      </c>
      <c r="J8" cm="1">
        <f t="array" ref="J8">BS_Vega(B8,$D$4,E8,F8,C8)</f>
        <v>1229.6694997468835</v>
      </c>
      <c r="K8" cm="1">
        <f t="array" ref="K8">VolatiliteRealisee(B6:B8)*252^0.5</f>
        <v>2.8420914658706597</v>
      </c>
      <c r="L8">
        <f t="shared" si="1"/>
        <v>1.0438356164383562</v>
      </c>
      <c r="M8" cm="1">
        <f t="array" ref="M8">BS_Price("P",B8,$D$4,E8,C8,F8)</f>
        <v>0.79950075654770658</v>
      </c>
      <c r="N8">
        <f t="shared" ref="N8:N50" si="2">(B8-B7)/B7</f>
        <v>4.5262733503561737E-3</v>
      </c>
      <c r="O8">
        <f t="shared" ref="O8:O50" si="3">N8+O7</f>
        <v>-1.0654318785382384E-2</v>
      </c>
      <c r="P8">
        <f t="shared" ref="P8:P50" si="4">B8-B7</f>
        <v>16.840000000000146</v>
      </c>
      <c r="Q8">
        <f t="shared" ref="Q8:Q50" si="5">P8+Q7</f>
        <v>-40.509999999999764</v>
      </c>
      <c r="R8" s="20">
        <f t="shared" ref="R8:R50" si="6">D8-D7</f>
        <v>-7.1000000000000227</v>
      </c>
      <c r="S8" s="20">
        <f t="shared" ref="S8:S50" si="7">P8+R8</f>
        <v>9.7400000000001228</v>
      </c>
      <c r="T8" s="20">
        <f t="shared" ref="T8:T50" si="8">S8+T7</f>
        <v>-29.809999999999775</v>
      </c>
      <c r="U8">
        <f t="shared" ref="U8:U50" si="9">G7*P8</f>
        <v>12.424604583855892</v>
      </c>
      <c r="V8">
        <f t="shared" ref="V8:V50" si="10">U8+V7</f>
        <v>-30.932803030224736</v>
      </c>
      <c r="W8">
        <f t="shared" ref="W8:W50" si="11">H7*(P8)^2*0.5+I7*(A8-A7)/365</f>
        <v>-0.25712594383668741</v>
      </c>
      <c r="X8">
        <f t="shared" ref="X8:X50" si="12">W8+X7</f>
        <v>-0.6627548087764098</v>
      </c>
      <c r="Y8">
        <f t="shared" ref="Y8:Y50" si="13">J7*(E8-E7)</f>
        <v>-2.4938239290042787</v>
      </c>
      <c r="Z8">
        <f t="shared" ref="Z8:Z50" si="14">Y8+Z7</f>
        <v>1.6420615992014085</v>
      </c>
      <c r="AA8">
        <f t="shared" ref="AA8:AA50" si="15">Y8+W8+U8</f>
        <v>9.673654711014926</v>
      </c>
      <c r="AB8">
        <f t="shared" ref="AB8:AB50" si="16">AA8+AB7</f>
        <v>-29.95349623979974</v>
      </c>
    </row>
    <row r="9" spans="1:28" x14ac:dyDescent="0.3">
      <c r="A9" s="3">
        <v>39603</v>
      </c>
      <c r="B9">
        <v>3699.05</v>
      </c>
      <c r="C9" s="7">
        <v>5.1070000000000004E-2</v>
      </c>
      <c r="D9" s="5">
        <v>205.3</v>
      </c>
      <c r="E9" s="8">
        <v>0.28434341776950983</v>
      </c>
      <c r="F9" s="23">
        <f t="shared" si="0"/>
        <v>1.0410958904109588</v>
      </c>
      <c r="G9" cm="1">
        <f t="array" ref="G9">BS_Delta("P",B9,$D$4,E9,F9,C9)+1</f>
        <v>0.73200492475218282</v>
      </c>
      <c r="H9" cm="1">
        <f t="array" ref="H9">BS_Gamma(B9,$D$4,E9,F9,C9)</f>
        <v>3.0694394692965134E-4</v>
      </c>
      <c r="I9" cm="1">
        <f t="array" ref="I9">BS_Theta("P",B9,$D$4,E9,F9,C9)</f>
        <v>-108.67188953059008</v>
      </c>
      <c r="J9" cm="1">
        <f t="array" ref="J9">BS_Vega(B9,$D$4,E9,F9,C9)</f>
        <v>1243.2927128151175</v>
      </c>
      <c r="K9" cm="1">
        <f t="array" ref="K9">VolatiliteRealisee(B7:B9)*252^0.5</f>
        <v>2.0037219959967425</v>
      </c>
      <c r="L9">
        <f t="shared" si="1"/>
        <v>1.0410958904109588</v>
      </c>
      <c r="M9" cm="1">
        <f t="array" ref="M9">BS_Price("P",B9,$D$4,E9,C9,F9)</f>
        <v>1.286209851646736</v>
      </c>
      <c r="N9">
        <f t="shared" si="2"/>
        <v>-1.0245254646352743E-2</v>
      </c>
      <c r="O9">
        <f t="shared" si="3"/>
        <v>-2.0899573431735124E-2</v>
      </c>
      <c r="P9">
        <f t="shared" si="4"/>
        <v>-38.289999999999964</v>
      </c>
      <c r="Q9">
        <f t="shared" si="5"/>
        <v>-78.799999999999727</v>
      </c>
      <c r="R9" s="20">
        <f t="shared" si="6"/>
        <v>10.100000000000023</v>
      </c>
      <c r="S9" s="20">
        <f t="shared" si="7"/>
        <v>-28.189999999999941</v>
      </c>
      <c r="T9" s="20">
        <f t="shared" si="8"/>
        <v>-57.999999999999716</v>
      </c>
      <c r="U9">
        <f t="shared" si="9"/>
        <v>-28.471812568533974</v>
      </c>
      <c r="V9">
        <f t="shared" si="10"/>
        <v>-59.40461559875871</v>
      </c>
      <c r="W9">
        <f t="shared" si="11"/>
        <v>-7.9446134192635215E-2</v>
      </c>
      <c r="X9">
        <f t="shared" si="12"/>
        <v>-0.74220094296904504</v>
      </c>
      <c r="Y9">
        <f t="shared" si="13"/>
        <v>0.52737836081560086</v>
      </c>
      <c r="Z9">
        <f t="shared" si="14"/>
        <v>2.1694399600170096</v>
      </c>
      <c r="AA9">
        <f t="shared" si="15"/>
        <v>-28.023880341911006</v>
      </c>
      <c r="AB9">
        <f t="shared" si="16"/>
        <v>-57.977376581710743</v>
      </c>
    </row>
    <row r="10" spans="1:28" x14ac:dyDescent="0.3">
      <c r="A10" s="3">
        <v>39604</v>
      </c>
      <c r="B10">
        <v>3682.83</v>
      </c>
      <c r="C10" s="7">
        <v>5.1249999999999997E-2</v>
      </c>
      <c r="D10" s="5">
        <v>205.3</v>
      </c>
      <c r="E10" s="8">
        <v>0.28124324441274101</v>
      </c>
      <c r="F10" s="23">
        <f t="shared" si="0"/>
        <v>1.0383561643835617</v>
      </c>
      <c r="G10" cm="1">
        <f t="array" ref="G10">BS_Delta("P",B10,$D$4,E10,F10,C10)+1</f>
        <v>0.72834055245063167</v>
      </c>
      <c r="H10" cm="1">
        <f t="array" ref="H10">BS_Gamma(B10,$D$4,E10,F10,C10)</f>
        <v>3.1423453579148284E-4</v>
      </c>
      <c r="I10" cm="1">
        <f t="array" ref="I10">BS_Theta("P",B10,$D$4,E10,F10,C10)</f>
        <v>-106.76281434882353</v>
      </c>
      <c r="J10" cm="1">
        <f t="array" ref="J10">BS_Vega(B10,$D$4,E10,F10,C10)</f>
        <v>1244.6455866287756</v>
      </c>
      <c r="K10" cm="1">
        <f t="array" ref="K10">VolatiliteRealisee(B8:B10)*252^0.5</f>
        <v>1.9951248876192387</v>
      </c>
      <c r="L10">
        <f t="shared" si="1"/>
        <v>1.0383561643835617</v>
      </c>
      <c r="M10" cm="1">
        <f t="array" ref="M10">BS_Price("P",B10,$D$4,E10,C10,F10)</f>
        <v>1.4547729744082036</v>
      </c>
      <c r="N10">
        <f t="shared" si="2"/>
        <v>-4.3849096389614239E-3</v>
      </c>
      <c r="O10">
        <f t="shared" si="3"/>
        <v>-2.5284483070696549E-2</v>
      </c>
      <c r="P10">
        <f t="shared" si="4"/>
        <v>-16.220000000000255</v>
      </c>
      <c r="Q10">
        <f t="shared" si="5"/>
        <v>-95.019999999999982</v>
      </c>
      <c r="R10" s="20">
        <f t="shared" si="6"/>
        <v>0</v>
      </c>
      <c r="S10" s="20">
        <f t="shared" si="7"/>
        <v>-16.220000000000255</v>
      </c>
      <c r="T10" s="20">
        <f t="shared" si="8"/>
        <v>-74.21999999999997</v>
      </c>
      <c r="U10">
        <f t="shared" si="9"/>
        <v>-11.873119879480592</v>
      </c>
      <c r="V10">
        <f t="shared" si="10"/>
        <v>-71.277735478239308</v>
      </c>
      <c r="W10">
        <f t="shared" si="11"/>
        <v>-0.25735450824969275</v>
      </c>
      <c r="X10">
        <f t="shared" si="12"/>
        <v>-0.99955545121873779</v>
      </c>
      <c r="Y10">
        <f t="shared" si="13"/>
        <v>-3.854422942934256</v>
      </c>
      <c r="Z10">
        <f t="shared" si="14"/>
        <v>-1.6849829829172465</v>
      </c>
      <c r="AA10">
        <f t="shared" si="15"/>
        <v>-15.984897330664541</v>
      </c>
      <c r="AB10">
        <f t="shared" si="16"/>
        <v>-73.962273912375281</v>
      </c>
    </row>
    <row r="11" spans="1:28" x14ac:dyDescent="0.3">
      <c r="A11" s="3">
        <v>39605</v>
      </c>
      <c r="B11">
        <v>3596.7</v>
      </c>
      <c r="C11" s="7">
        <v>5.4179999999999999E-2</v>
      </c>
      <c r="D11" s="5">
        <v>232.9</v>
      </c>
      <c r="E11" s="8">
        <v>0.28695843605412363</v>
      </c>
      <c r="F11" s="23">
        <f t="shared" si="0"/>
        <v>1.0356164383561643</v>
      </c>
      <c r="G11" cm="1">
        <f t="array" ref="G11">BS_Delta("P",B11,$D$4,E11,F11,C11)+1</f>
        <v>0.7022019767173695</v>
      </c>
      <c r="H11" cm="1">
        <f t="array" ref="H11">BS_Gamma(B11,$D$4,E11,F11,C11)</f>
        <v>3.2992810095800688E-4</v>
      </c>
      <c r="I11" cm="1">
        <f t="array" ref="I11">BS_Theta("P",B11,$D$4,E11,F11,C11)</f>
        <v>-105.07569691596804</v>
      </c>
      <c r="J11" cm="1">
        <f t="array" ref="J11">BS_Vega(B11,$D$4,E11,F11,C11)</f>
        <v>1268.3691467837691</v>
      </c>
      <c r="K11" cm="1">
        <f t="array" ref="K11">VolatiliteRealisee(B9:B11)*252^0.5</f>
        <v>4.2889298959776596</v>
      </c>
      <c r="L11">
        <f t="shared" si="1"/>
        <v>1.0356164383561643</v>
      </c>
      <c r="M11" cm="1">
        <f t="array" ref="M11">BS_Price("P",B11,$D$4,E11,C11,F11)</f>
        <v>4.3367940862277647</v>
      </c>
      <c r="N11">
        <f t="shared" si="2"/>
        <v>-2.3386906265019051E-2</v>
      </c>
      <c r="O11">
        <f t="shared" si="3"/>
        <v>-4.8671389335715604E-2</v>
      </c>
      <c r="P11">
        <f t="shared" si="4"/>
        <v>-86.130000000000109</v>
      </c>
      <c r="Q11">
        <f t="shared" si="5"/>
        <v>-181.15000000000009</v>
      </c>
      <c r="R11" s="20">
        <f t="shared" si="6"/>
        <v>27.599999999999994</v>
      </c>
      <c r="S11" s="20">
        <f t="shared" si="7"/>
        <v>-58.530000000000115</v>
      </c>
      <c r="T11" s="20">
        <f t="shared" si="8"/>
        <v>-132.75000000000009</v>
      </c>
      <c r="U11">
        <f t="shared" si="9"/>
        <v>-62.731971782572984</v>
      </c>
      <c r="V11">
        <f t="shared" si="10"/>
        <v>-134.00970726081229</v>
      </c>
      <c r="W11">
        <f t="shared" si="11"/>
        <v>0.87305424951922905</v>
      </c>
      <c r="X11">
        <f t="shared" si="12"/>
        <v>-0.12650120169950874</v>
      </c>
      <c r="Y11">
        <f t="shared" si="13"/>
        <v>7.1133880531845488</v>
      </c>
      <c r="Z11">
        <f t="shared" si="14"/>
        <v>5.4284050702673028</v>
      </c>
      <c r="AA11">
        <f t="shared" si="15"/>
        <v>-54.745529479869205</v>
      </c>
      <c r="AB11">
        <f t="shared" si="16"/>
        <v>-128.7078033922445</v>
      </c>
    </row>
    <row r="12" spans="1:28" x14ac:dyDescent="0.3">
      <c r="A12" s="3">
        <v>39608</v>
      </c>
      <c r="B12">
        <v>3597.34</v>
      </c>
      <c r="C12" s="7">
        <v>5.4290000000000005E-2</v>
      </c>
      <c r="D12" s="5">
        <v>235.4</v>
      </c>
      <c r="E12" s="8">
        <v>0.28988914401014149</v>
      </c>
      <c r="F12" s="23">
        <f t="shared" si="0"/>
        <v>1.0273972602739727</v>
      </c>
      <c r="G12" cm="1">
        <f t="array" ref="G12">BS_Delta("P",B12,$D$4,E12,F12,C12)+1</f>
        <v>0.70151205989178056</v>
      </c>
      <c r="H12" cm="1">
        <f t="array" ref="H12">BS_Gamma(B12,$D$4,E12,F12,C12)</f>
        <v>3.2818380891502487E-4</v>
      </c>
      <c r="I12" cm="1">
        <f t="array" ref="I12">BS_Theta("P",B12,$D$4,E12,F12,C12)</f>
        <v>-107.37452684651394</v>
      </c>
      <c r="J12" cm="1">
        <f t="array" ref="J12">BS_Vega(B12,$D$4,E12,F12,C12)</f>
        <v>1264.8833616081902</v>
      </c>
      <c r="K12" cm="1">
        <f t="array" ref="K12">VolatiliteRealisee(B10:B12)*252^0.5</f>
        <v>4.2169571453705093</v>
      </c>
      <c r="L12">
        <f t="shared" si="1"/>
        <v>1.0273972602739727</v>
      </c>
      <c r="M12" cm="1">
        <f t="array" ref="M12">BS_Price("P",B12,$D$4,E12,C12,F12)</f>
        <v>4.6145112852216883</v>
      </c>
      <c r="N12">
        <f t="shared" si="2"/>
        <v>1.7794089026060763E-4</v>
      </c>
      <c r="O12">
        <f t="shared" si="3"/>
        <v>-4.8493448445454994E-2</v>
      </c>
      <c r="P12">
        <f t="shared" si="4"/>
        <v>0.64000000000032742</v>
      </c>
      <c r="Q12">
        <f t="shared" si="5"/>
        <v>-180.50999999999976</v>
      </c>
      <c r="R12" s="20">
        <f t="shared" si="6"/>
        <v>2.5</v>
      </c>
      <c r="S12" s="20">
        <f t="shared" si="7"/>
        <v>3.1400000000003274</v>
      </c>
      <c r="T12" s="20">
        <f t="shared" si="8"/>
        <v>-129.60999999999976</v>
      </c>
      <c r="U12">
        <f t="shared" si="9"/>
        <v>0.44940926509934642</v>
      </c>
      <c r="V12">
        <f t="shared" si="10"/>
        <v>-133.56029799571294</v>
      </c>
      <c r="W12">
        <f t="shared" si="11"/>
        <v>-0.8635682957876748</v>
      </c>
      <c r="X12">
        <f t="shared" si="12"/>
        <v>-0.99006949748718354</v>
      </c>
      <c r="Y12">
        <f t="shared" si="13"/>
        <v>3.7172195496467677</v>
      </c>
      <c r="Z12">
        <f t="shared" si="14"/>
        <v>9.1456246199140701</v>
      </c>
      <c r="AA12">
        <f t="shared" si="15"/>
        <v>3.3030605189584392</v>
      </c>
      <c r="AB12">
        <f t="shared" si="16"/>
        <v>-125.40474287328607</v>
      </c>
    </row>
    <row r="13" spans="1:28" x14ac:dyDescent="0.3">
      <c r="A13" s="3">
        <v>39609</v>
      </c>
      <c r="B13">
        <v>3574.7</v>
      </c>
      <c r="C13" s="7">
        <v>5.4320000000000007E-2</v>
      </c>
      <c r="D13" s="5">
        <v>241.5</v>
      </c>
      <c r="E13" s="8">
        <v>0.28956738505857743</v>
      </c>
      <c r="F13" s="23">
        <f t="shared" si="0"/>
        <v>1.0246575342465754</v>
      </c>
      <c r="G13" cm="1">
        <f t="array" ref="G13">BS_Delta("P",B13,$D$4,E13,F13,C13)+1</f>
        <v>0.69405899721795827</v>
      </c>
      <c r="H13" cm="1">
        <f t="array" ref="H13">BS_Gamma(B13,$D$4,E13,F13,C13)</f>
        <v>3.3475596001117169E-4</v>
      </c>
      <c r="I13" cm="1">
        <f t="array" ref="I13">BS_Theta("P",B13,$D$4,E13,F13,C13)</f>
        <v>-106.81465232995428</v>
      </c>
      <c r="J13" cm="1">
        <f t="array" ref="J13">BS_Vega(B13,$D$4,E13,F13,C13)</f>
        <v>1269.217058817185</v>
      </c>
      <c r="K13" cm="1">
        <f t="array" ref="K13">VolatiliteRealisee(B11:B13)*252^0.5</f>
        <v>1.1254419421770803</v>
      </c>
      <c r="L13">
        <f t="shared" si="1"/>
        <v>1.0246575342465754</v>
      </c>
      <c r="M13" cm="1">
        <f t="array" ref="M13">BS_Price("P",B13,$D$4,E13,C13,F13)</f>
        <v>5.741656793788291</v>
      </c>
      <c r="N13">
        <f t="shared" si="2"/>
        <v>-6.2935391150128498E-3</v>
      </c>
      <c r="O13">
        <f t="shared" si="3"/>
        <v>-5.4786987560467841E-2</v>
      </c>
      <c r="P13">
        <f t="shared" si="4"/>
        <v>-22.640000000000327</v>
      </c>
      <c r="Q13">
        <f t="shared" si="5"/>
        <v>-203.15000000000009</v>
      </c>
      <c r="R13" s="20">
        <f t="shared" si="6"/>
        <v>6.0999999999999943</v>
      </c>
      <c r="S13" s="20">
        <f t="shared" si="7"/>
        <v>-16.540000000000333</v>
      </c>
      <c r="T13" s="20">
        <f t="shared" si="8"/>
        <v>-146.15000000000009</v>
      </c>
      <c r="U13">
        <f t="shared" si="9"/>
        <v>-15.882233035950142</v>
      </c>
      <c r="V13">
        <f t="shared" si="10"/>
        <v>-149.44253103166309</v>
      </c>
      <c r="W13">
        <f t="shared" si="11"/>
        <v>-0.21006826404983231</v>
      </c>
      <c r="X13">
        <f t="shared" si="12"/>
        <v>-1.2001377615370159</v>
      </c>
      <c r="Y13">
        <f t="shared" si="13"/>
        <v>-0.40698754428186884</v>
      </c>
      <c r="Z13">
        <f t="shared" si="14"/>
        <v>8.7386370756322016</v>
      </c>
      <c r="AA13">
        <f t="shared" si="15"/>
        <v>-16.499288844281843</v>
      </c>
      <c r="AB13">
        <f t="shared" si="16"/>
        <v>-141.9040317175679</v>
      </c>
    </row>
    <row r="14" spans="1:28" x14ac:dyDescent="0.3">
      <c r="A14" s="3">
        <v>39610</v>
      </c>
      <c r="B14">
        <v>3509.39</v>
      </c>
      <c r="C14" s="7">
        <v>5.4169999999999996E-2</v>
      </c>
      <c r="D14" s="5">
        <v>263</v>
      </c>
      <c r="E14" s="8">
        <v>0.29024030261888506</v>
      </c>
      <c r="F14" s="23">
        <f t="shared" si="0"/>
        <v>1.021917808219178</v>
      </c>
      <c r="G14" cm="1">
        <f t="array" ref="G14">BS_Delta("P",B14,$D$4,E14,F14,C14)+1</f>
        <v>0.67122695675152433</v>
      </c>
      <c r="H14" cm="1">
        <f t="array" ref="H14">BS_Gamma(B14,$D$4,E14,F14,C14)</f>
        <v>3.5118774544631143E-4</v>
      </c>
      <c r="I14" cm="1">
        <f t="array" ref="I14">BS_Theta("P",B14,$D$4,E14,F14,C14)</f>
        <v>-105.42703202494509</v>
      </c>
      <c r="J14" cm="1">
        <f t="array" ref="J14">BS_Vega(B14,$D$4,E14,F14,C14)</f>
        <v>1282.8512655797292</v>
      </c>
      <c r="K14" cm="1">
        <f t="array" ref="K14">VolatiliteRealisee(B12:B14)*252^0.5</f>
        <v>3.4729263736730069</v>
      </c>
      <c r="L14">
        <f t="shared" si="1"/>
        <v>1.021917808219178</v>
      </c>
      <c r="M14" cm="1">
        <f t="array" ref="M14">BS_Price("P",B14,$D$4,E14,C14,F14)</f>
        <v>10.590105851465001</v>
      </c>
      <c r="N14">
        <f t="shared" si="2"/>
        <v>-1.8270064620807325E-2</v>
      </c>
      <c r="O14">
        <f t="shared" si="3"/>
        <v>-7.3057052181275173E-2</v>
      </c>
      <c r="P14">
        <f t="shared" si="4"/>
        <v>-65.309999999999945</v>
      </c>
      <c r="Q14">
        <f t="shared" si="5"/>
        <v>-268.46000000000004</v>
      </c>
      <c r="R14" s="20">
        <f t="shared" si="6"/>
        <v>21.5</v>
      </c>
      <c r="S14" s="20">
        <f t="shared" si="7"/>
        <v>-43.809999999999945</v>
      </c>
      <c r="T14" s="20">
        <f t="shared" si="8"/>
        <v>-189.96000000000004</v>
      </c>
      <c r="U14">
        <f t="shared" si="9"/>
        <v>-45.328993108304815</v>
      </c>
      <c r="V14">
        <f t="shared" si="10"/>
        <v>-194.77152413996791</v>
      </c>
      <c r="W14">
        <f t="shared" si="11"/>
        <v>0.42129050004593749</v>
      </c>
      <c r="X14">
        <f t="shared" si="12"/>
        <v>-0.77884726149107841</v>
      </c>
      <c r="Y14">
        <f t="shared" si="13"/>
        <v>0.85407844672008426</v>
      </c>
      <c r="Z14">
        <f t="shared" si="14"/>
        <v>9.592715522352286</v>
      </c>
      <c r="AA14">
        <f t="shared" si="15"/>
        <v>-44.053624161538792</v>
      </c>
      <c r="AB14">
        <f t="shared" si="16"/>
        <v>-185.95765587910671</v>
      </c>
    </row>
    <row r="15" spans="1:28" x14ac:dyDescent="0.3">
      <c r="A15" s="3">
        <v>39611</v>
      </c>
      <c r="B15">
        <v>3542.59</v>
      </c>
      <c r="C15" s="7">
        <v>5.425E-2</v>
      </c>
      <c r="D15" s="5">
        <v>246.7</v>
      </c>
      <c r="E15" s="8">
        <v>0.28617916430392115</v>
      </c>
      <c r="F15" s="23">
        <f t="shared" si="0"/>
        <v>1.0191780821917809</v>
      </c>
      <c r="G15" cm="1">
        <f t="array" ref="G15">BS_Delta("P",B15,$D$4,E15,F15,C15)+1</f>
        <v>0.6836854066120126</v>
      </c>
      <c r="H15" cm="1">
        <f t="array" ref="H15">BS_Gamma(B15,$D$4,E15,F15,C15)</f>
        <v>3.4770050691941128E-4</v>
      </c>
      <c r="I15" cm="1">
        <f t="array" ref="I15">BS_Theta("P",B15,$D$4,E15,F15,C15)</f>
        <v>-104.51251745925181</v>
      </c>
      <c r="J15" cm="1">
        <f t="array" ref="J15">BS_Vega(B15,$D$4,E15,F15,C15)</f>
        <v>1272.726817390957</v>
      </c>
      <c r="K15" cm="1">
        <f t="array" ref="K15">VolatiliteRealisee(B13:B15)*252^0.5</f>
        <v>3.6892666276687955</v>
      </c>
      <c r="L15">
        <f t="shared" si="1"/>
        <v>1.0191780821917809</v>
      </c>
      <c r="M15" cm="1">
        <f t="array" ref="M15">BS_Price("P",B15,$D$4,E15,C15,F15)</f>
        <v>7.4500686907711673</v>
      </c>
      <c r="N15">
        <f t="shared" si="2"/>
        <v>9.4603335622430885E-3</v>
      </c>
      <c r="O15">
        <f t="shared" si="3"/>
        <v>-6.3596718619032086E-2</v>
      </c>
      <c r="P15">
        <f t="shared" si="4"/>
        <v>33.200000000000273</v>
      </c>
      <c r="Q15">
        <f t="shared" si="5"/>
        <v>-235.25999999999976</v>
      </c>
      <c r="R15" s="20">
        <f t="shared" si="6"/>
        <v>-16.300000000000011</v>
      </c>
      <c r="S15" s="20">
        <f t="shared" si="7"/>
        <v>16.900000000000261</v>
      </c>
      <c r="T15" s="20">
        <f t="shared" si="8"/>
        <v>-173.05999999999977</v>
      </c>
      <c r="U15">
        <f t="shared" si="9"/>
        <v>22.28473496415079</v>
      </c>
      <c r="V15">
        <f t="shared" si="10"/>
        <v>-172.48678917581711</v>
      </c>
      <c r="W15">
        <f t="shared" si="11"/>
        <v>-9.5294593359612212E-2</v>
      </c>
      <c r="X15">
        <f t="shared" si="12"/>
        <v>-0.87414185485069062</v>
      </c>
      <c r="Y15">
        <f t="shared" si="13"/>
        <v>-5.2098364270457784</v>
      </c>
      <c r="Z15">
        <f t="shared" si="14"/>
        <v>4.3828790953065075</v>
      </c>
      <c r="AA15">
        <f t="shared" si="15"/>
        <v>16.979603943745399</v>
      </c>
      <c r="AB15">
        <f t="shared" si="16"/>
        <v>-168.97805193536132</v>
      </c>
    </row>
    <row r="16" spans="1:28" x14ac:dyDescent="0.3">
      <c r="A16" s="3">
        <v>39612</v>
      </c>
      <c r="B16">
        <v>3562.67</v>
      </c>
      <c r="C16" s="7">
        <v>5.4390000000000001E-2</v>
      </c>
      <c r="D16" s="5">
        <v>234.2</v>
      </c>
      <c r="E16" s="8">
        <v>0.28164210494529829</v>
      </c>
      <c r="F16" s="23">
        <f t="shared" si="0"/>
        <v>1.0164383561643835</v>
      </c>
      <c r="G16" cm="1">
        <f t="array" ref="G16">BS_Delta("P",B16,$D$4,E16,F16,C16)+1</f>
        <v>0.69190651119069602</v>
      </c>
      <c r="H16" cm="1">
        <f t="array" ref="H16">BS_Gamma(B16,$D$4,E16,F16,C16)</f>
        <v>3.4780453547095572E-4</v>
      </c>
      <c r="I16" cm="1">
        <f t="array" ref="I16">BS_Theta("P",B16,$D$4,E16,F16,C16)</f>
        <v>-102.64754389987012</v>
      </c>
      <c r="J16" cm="1">
        <f t="array" ref="J16">BS_Vega(B16,$D$4,E16,F16,C16)</f>
        <v>1263.7613270653258</v>
      </c>
      <c r="K16" cm="1">
        <f t="array" ref="K16">VolatiliteRealisee(B14:B16)*252^0.5</f>
        <v>1.9569020043074341</v>
      </c>
      <c r="L16">
        <f t="shared" si="1"/>
        <v>1.0164383561643835</v>
      </c>
      <c r="M16" cm="1">
        <f t="array" ref="M16">BS_Price("P",B16,$D$4,E16,C16,F16)</f>
        <v>5.7642557349140873</v>
      </c>
      <c r="N16">
        <f t="shared" si="2"/>
        <v>5.6681693337360308E-3</v>
      </c>
      <c r="O16">
        <f t="shared" si="3"/>
        <v>-5.7928549285296053E-2</v>
      </c>
      <c r="P16">
        <f t="shared" si="4"/>
        <v>20.079999999999927</v>
      </c>
      <c r="Q16">
        <f t="shared" si="5"/>
        <v>-215.17999999999984</v>
      </c>
      <c r="R16" s="20">
        <f t="shared" si="6"/>
        <v>-12.5</v>
      </c>
      <c r="S16" s="20">
        <f t="shared" si="7"/>
        <v>7.5799999999999272</v>
      </c>
      <c r="T16" s="20">
        <f t="shared" si="8"/>
        <v>-165.47999999999985</v>
      </c>
      <c r="U16">
        <f t="shared" si="9"/>
        <v>13.728402964769163</v>
      </c>
      <c r="V16">
        <f t="shared" si="10"/>
        <v>-158.75838621104793</v>
      </c>
      <c r="W16">
        <f t="shared" si="11"/>
        <v>-0.21623812943534781</v>
      </c>
      <c r="X16">
        <f t="shared" si="12"/>
        <v>-1.0903799842860384</v>
      </c>
      <c r="Y16">
        <f t="shared" si="13"/>
        <v>-5.7744371178139335</v>
      </c>
      <c r="Z16">
        <f t="shared" si="14"/>
        <v>-1.391558022507426</v>
      </c>
      <c r="AA16">
        <f t="shared" si="15"/>
        <v>7.7377277175198822</v>
      </c>
      <c r="AB16">
        <f t="shared" si="16"/>
        <v>-161.24032421784145</v>
      </c>
    </row>
    <row r="17" spans="1:28" x14ac:dyDescent="0.3">
      <c r="A17" s="3">
        <v>39615</v>
      </c>
      <c r="B17">
        <v>3532.83</v>
      </c>
      <c r="C17" s="7">
        <v>5.4359999999999999E-2</v>
      </c>
      <c r="D17" s="5">
        <v>238.4</v>
      </c>
      <c r="E17" s="8">
        <v>0.27820461055570883</v>
      </c>
      <c r="F17" s="23">
        <f t="shared" si="0"/>
        <v>1.0082191780821919</v>
      </c>
      <c r="G17" cm="1">
        <f t="array" ref="G17">BS_Delta("P",B17,$D$4,E17,F17,C17)+1</f>
        <v>0.6819152849194684</v>
      </c>
      <c r="H17" cm="1">
        <f t="array" ref="H17">BS_Gamma(B17,$D$4,E17,F17,C17)</f>
        <v>3.6145213407042838E-4</v>
      </c>
      <c r="I17" cm="1">
        <f t="array" ref="I17">BS_Theta("P",B17,$D$4,E17,F17,C17)</f>
        <v>-100.53428620029435</v>
      </c>
      <c r="J17" cm="1">
        <f t="array" ref="J17">BS_Vega(B17,$D$4,E17,F17,C17)</f>
        <v>1265.3642195741618</v>
      </c>
      <c r="K17" cm="1">
        <f t="array" ref="K17">VolatiliteRealisee(B15:B17)*252^0.5</f>
        <v>1.8057355232067656</v>
      </c>
      <c r="L17">
        <f t="shared" si="1"/>
        <v>1.0082191780821919</v>
      </c>
      <c r="M17" cm="1">
        <f t="array" ref="M17">BS_Price("P",B17,$D$4,E17,C17,F17)</f>
        <v>7.4061379039839084</v>
      </c>
      <c r="N17">
        <f t="shared" si="2"/>
        <v>-8.3757406664103449E-3</v>
      </c>
      <c r="O17">
        <f t="shared" si="3"/>
        <v>-6.6304289951706397E-2</v>
      </c>
      <c r="P17">
        <f t="shared" si="4"/>
        <v>-29.840000000000146</v>
      </c>
      <c r="Q17">
        <f t="shared" si="5"/>
        <v>-245.01999999999998</v>
      </c>
      <c r="R17" s="20">
        <f t="shared" si="6"/>
        <v>4.2000000000000171</v>
      </c>
      <c r="S17" s="20">
        <f t="shared" si="7"/>
        <v>-25.640000000000128</v>
      </c>
      <c r="T17" s="20">
        <f t="shared" si="8"/>
        <v>-191.11999999999998</v>
      </c>
      <c r="U17">
        <f t="shared" si="9"/>
        <v>-20.646490293930469</v>
      </c>
      <c r="V17">
        <f t="shared" si="10"/>
        <v>-179.4048765049784</v>
      </c>
      <c r="W17">
        <f t="shared" si="11"/>
        <v>-0.68883141192290598</v>
      </c>
      <c r="X17">
        <f t="shared" si="12"/>
        <v>-1.7792113962089444</v>
      </c>
      <c r="Y17">
        <f t="shared" si="13"/>
        <v>-4.3441724715671839</v>
      </c>
      <c r="Z17">
        <f t="shared" si="14"/>
        <v>-5.7357304940746099</v>
      </c>
      <c r="AA17">
        <f t="shared" si="15"/>
        <v>-25.679494177420558</v>
      </c>
      <c r="AB17">
        <f t="shared" si="16"/>
        <v>-186.91981839526201</v>
      </c>
    </row>
    <row r="18" spans="1:28" x14ac:dyDescent="0.3">
      <c r="A18" s="3">
        <v>39616</v>
      </c>
      <c r="B18">
        <v>3555.58</v>
      </c>
      <c r="C18" s="7">
        <v>5.4339999999999999E-2</v>
      </c>
      <c r="D18" s="5">
        <v>227.4</v>
      </c>
      <c r="E18" s="8">
        <v>0.27533666864205836</v>
      </c>
      <c r="F18" s="23">
        <f t="shared" si="0"/>
        <v>1.0054794520547945</v>
      </c>
      <c r="G18" cm="1">
        <f t="array" ref="G18">BS_Delta("P",B18,$D$4,E18,F18,C18)+1</f>
        <v>0.69075868043245436</v>
      </c>
      <c r="H18" cm="1">
        <f t="array" ref="H18">BS_Gamma(B18,$D$4,E18,F18,C18)</f>
        <v>3.5900057396141979E-4</v>
      </c>
      <c r="I18" cm="1">
        <f t="array" ref="I18">BS_Theta("P",B18,$D$4,E18,F18,C18)</f>
        <v>-99.928452433451341</v>
      </c>
      <c r="J18" cm="1">
        <f t="array" ref="J18">BS_Vega(B18,$D$4,E18,F18,C18)</f>
        <v>1256.4734192032704</v>
      </c>
      <c r="K18" cm="1">
        <f t="array" ref="K18">VolatiliteRealisee(B16:B18)*252^0.5</f>
        <v>1.8853582794457941</v>
      </c>
      <c r="L18">
        <f t="shared" si="1"/>
        <v>1.0054794520547945</v>
      </c>
      <c r="M18" cm="1">
        <f t="array" ref="M18">BS_Price("P",B18,$D$4,E18,C18,F18)</f>
        <v>5.6920308064520873</v>
      </c>
      <c r="N18">
        <f t="shared" si="2"/>
        <v>6.4395965840416888E-3</v>
      </c>
      <c r="O18">
        <f t="shared" si="3"/>
        <v>-5.9864693367664708E-2</v>
      </c>
      <c r="P18">
        <f t="shared" si="4"/>
        <v>22.75</v>
      </c>
      <c r="Q18">
        <f t="shared" si="5"/>
        <v>-222.26999999999998</v>
      </c>
      <c r="R18" s="20">
        <f t="shared" si="6"/>
        <v>-11</v>
      </c>
      <c r="S18" s="20">
        <f t="shared" si="7"/>
        <v>11.75</v>
      </c>
      <c r="T18" s="20">
        <f t="shared" si="8"/>
        <v>-179.36999999999998</v>
      </c>
      <c r="U18">
        <f t="shared" si="9"/>
        <v>15.513572731917906</v>
      </c>
      <c r="V18">
        <f t="shared" si="10"/>
        <v>-163.89130377306049</v>
      </c>
      <c r="W18">
        <f t="shared" si="11"/>
        <v>-0.18189936547883859</v>
      </c>
      <c r="X18">
        <f t="shared" si="12"/>
        <v>-1.961110761687783</v>
      </c>
      <c r="Y18">
        <f t="shared" si="13"/>
        <v>-3.6289910813503594</v>
      </c>
      <c r="Z18">
        <f t="shared" si="14"/>
        <v>-9.3647215754249693</v>
      </c>
      <c r="AA18">
        <f t="shared" si="15"/>
        <v>11.702682285088708</v>
      </c>
      <c r="AB18">
        <f t="shared" si="16"/>
        <v>-175.2171361101733</v>
      </c>
    </row>
    <row r="19" spans="1:28" x14ac:dyDescent="0.3">
      <c r="A19" s="3">
        <v>39617</v>
      </c>
      <c r="B19">
        <v>3507.97</v>
      </c>
      <c r="C19" s="7">
        <v>5.4269999999999999E-2</v>
      </c>
      <c r="D19" s="5">
        <v>249.2</v>
      </c>
      <c r="E19" s="8">
        <v>0.28072798384990866</v>
      </c>
      <c r="F19" s="23">
        <f t="shared" si="0"/>
        <v>1.0027397260273974</v>
      </c>
      <c r="G19" cm="1">
        <f t="array" ref="G19">BS_Delta("P",B19,$D$4,E19,F19,C19)+1</f>
        <v>0.67196591064854216</v>
      </c>
      <c r="H19" cm="1">
        <f t="array" ref="H19">BS_Gamma(B19,$D$4,E19,F19,C19)</f>
        <v>3.6635868048965042E-4</v>
      </c>
      <c r="I19" cm="1">
        <f t="array" ref="I19">BS_Theta("P",B19,$D$4,E19,F19,C19)</f>
        <v>-101.67331859037503</v>
      </c>
      <c r="J19" cm="1">
        <f t="array" ref="J19">BS_Vega(B19,$D$4,E19,F19,C19)</f>
        <v>1269.0892197305614</v>
      </c>
      <c r="K19" cm="1">
        <f t="array" ref="K19">VolatiliteRealisee(B17:B19)*252^0.5</f>
        <v>2.6605496383139435</v>
      </c>
      <c r="L19">
        <f t="shared" si="1"/>
        <v>1.0027397260273974</v>
      </c>
      <c r="M19" cm="1">
        <f t="array" ref="M19">BS_Price("P",B19,$D$4,E19,C19,F19)</f>
        <v>9.7893355059055995</v>
      </c>
      <c r="N19">
        <f t="shared" si="2"/>
        <v>-1.3390220442234495E-2</v>
      </c>
      <c r="O19">
        <f t="shared" si="3"/>
        <v>-7.3254913809899208E-2</v>
      </c>
      <c r="P19">
        <f t="shared" si="4"/>
        <v>-47.610000000000127</v>
      </c>
      <c r="Q19">
        <f t="shared" si="5"/>
        <v>-269.88000000000011</v>
      </c>
      <c r="R19" s="20">
        <f t="shared" si="6"/>
        <v>21.799999999999983</v>
      </c>
      <c r="S19" s="20">
        <f t="shared" si="7"/>
        <v>-25.810000000000144</v>
      </c>
      <c r="T19" s="20">
        <f t="shared" si="8"/>
        <v>-205.18000000000012</v>
      </c>
      <c r="U19">
        <f t="shared" si="9"/>
        <v>-32.887020775389239</v>
      </c>
      <c r="V19">
        <f t="shared" si="10"/>
        <v>-196.77832454844972</v>
      </c>
      <c r="W19">
        <f t="shared" si="11"/>
        <v>0.13309889044319401</v>
      </c>
      <c r="X19">
        <f t="shared" si="12"/>
        <v>-1.828011871244589</v>
      </c>
      <c r="Y19">
        <f t="shared" si="13"/>
        <v>6.7740442532102572</v>
      </c>
      <c r="Z19">
        <f t="shared" si="14"/>
        <v>-2.5906773222147121</v>
      </c>
      <c r="AA19">
        <f t="shared" si="15"/>
        <v>-25.979877631735789</v>
      </c>
      <c r="AB19">
        <f t="shared" si="16"/>
        <v>-201.19701374190907</v>
      </c>
    </row>
    <row r="20" spans="1:28" x14ac:dyDescent="0.3">
      <c r="A20" s="3">
        <v>39618</v>
      </c>
      <c r="B20">
        <v>3486.71</v>
      </c>
      <c r="C20" s="7">
        <v>5.4299999999999994E-2</v>
      </c>
      <c r="D20" s="5">
        <v>252.2</v>
      </c>
      <c r="E20" s="8">
        <v>0.27778767332119414</v>
      </c>
      <c r="F20" s="23">
        <f t="shared" si="0"/>
        <v>1</v>
      </c>
      <c r="G20" cm="1">
        <f t="array" ref="G20">BS_Delta("P",B20,$D$4,E20,F20,C20)+1</f>
        <v>0.66459006166583434</v>
      </c>
      <c r="H20" cm="1">
        <f t="array" ref="H20">BS_Gamma(B20,$D$4,E20,F20,C20)</f>
        <v>3.7631782894515095E-4</v>
      </c>
      <c r="I20" cm="1">
        <f t="array" ref="I20">BS_Theta("P",B20,$D$4,E20,F20,C20)</f>
        <v>-99.318244584935655</v>
      </c>
      <c r="J20" cm="1">
        <f t="array" ref="J20">BS_Vega(B20,$D$4,E20,F20,C20)</f>
        <v>1270.8650004457008</v>
      </c>
      <c r="K20" cm="1">
        <f t="array" ref="K20">VolatiliteRealisee(B18:B20)*252^0.5</f>
        <v>2.6350694056880526</v>
      </c>
      <c r="L20">
        <f t="shared" si="1"/>
        <v>1</v>
      </c>
      <c r="M20" cm="1">
        <f t="array" ref="M20">BS_Price("P",B20,$D$4,E20,C20,F20)</f>
        <v>11.484705915718251</v>
      </c>
      <c r="N20">
        <f t="shared" si="2"/>
        <v>-6.0604851238749945E-3</v>
      </c>
      <c r="O20">
        <f t="shared" si="3"/>
        <v>-7.9315398933774206E-2</v>
      </c>
      <c r="P20">
        <f t="shared" si="4"/>
        <v>-21.259999999999764</v>
      </c>
      <c r="Q20">
        <f t="shared" si="5"/>
        <v>-291.13999999999987</v>
      </c>
      <c r="R20" s="20">
        <f t="shared" si="6"/>
        <v>3</v>
      </c>
      <c r="S20" s="20">
        <f t="shared" si="7"/>
        <v>-18.259999999999764</v>
      </c>
      <c r="T20" s="20">
        <f t="shared" si="8"/>
        <v>-223.43999999999988</v>
      </c>
      <c r="U20">
        <f t="shared" si="9"/>
        <v>-14.285995260387848</v>
      </c>
      <c r="V20">
        <f t="shared" si="10"/>
        <v>-211.06431980883755</v>
      </c>
      <c r="W20">
        <f t="shared" si="11"/>
        <v>-0.19576224686706406</v>
      </c>
      <c r="X20">
        <f t="shared" si="12"/>
        <v>-2.0237741181116529</v>
      </c>
      <c r="Y20">
        <f t="shared" si="13"/>
        <v>-3.7315163946518624</v>
      </c>
      <c r="Z20">
        <f t="shared" si="14"/>
        <v>-6.3221937168665745</v>
      </c>
      <c r="AA20">
        <f t="shared" si="15"/>
        <v>-18.213273901906774</v>
      </c>
      <c r="AB20">
        <f t="shared" si="16"/>
        <v>-219.41028764381585</v>
      </c>
    </row>
    <row r="21" spans="1:28" x14ac:dyDescent="0.3">
      <c r="A21" s="3">
        <v>39619</v>
      </c>
      <c r="B21">
        <v>3426.58</v>
      </c>
      <c r="C21" s="7">
        <v>5.4290000000000005E-2</v>
      </c>
      <c r="D21" s="5">
        <v>279.5</v>
      </c>
      <c r="E21" s="8">
        <v>0.28301919455971958</v>
      </c>
      <c r="F21" s="23">
        <f t="shared" si="0"/>
        <v>0.99726027397260275</v>
      </c>
      <c r="G21" cm="1">
        <f t="array" ref="G21">BS_Delta("P",B21,$D$4,E21,F21,C21)+1</f>
        <v>0.64073712247667958</v>
      </c>
      <c r="H21" cm="1">
        <f t="array" ref="H21">BS_Gamma(B21,$D$4,E21,F21,C21)</f>
        <v>3.8602863568105268E-4</v>
      </c>
      <c r="I21" cm="1">
        <f t="array" ref="I21">BS_Theta("P",B21,$D$4,E21,F21,C21)</f>
        <v>-99.520385369755445</v>
      </c>
      <c r="J21" cm="1">
        <f t="array" ref="J21">BS_Vega(B21,$D$4,E21,F21,C21)</f>
        <v>1279.280214790432</v>
      </c>
      <c r="K21" cm="1">
        <f t="array" ref="K21">VolatiliteRealisee(B19:B21)*252^0.5</f>
        <v>3.2836060241389653</v>
      </c>
      <c r="L21">
        <f t="shared" si="1"/>
        <v>0.99726027397260275</v>
      </c>
      <c r="M21" cm="1">
        <f t="array" ref="M21">BS_Price("P",B21,$D$4,E21,C21,F21)</f>
        <v>20.462021589600326</v>
      </c>
      <c r="N21">
        <f t="shared" si="2"/>
        <v>-1.7245483564735844E-2</v>
      </c>
      <c r="O21">
        <f t="shared" si="3"/>
        <v>-9.6560882498510053E-2</v>
      </c>
      <c r="P21">
        <f t="shared" si="4"/>
        <v>-60.130000000000109</v>
      </c>
      <c r="Q21">
        <f t="shared" si="5"/>
        <v>-351.27</v>
      </c>
      <c r="R21" s="20">
        <f t="shared" si="6"/>
        <v>27.300000000000011</v>
      </c>
      <c r="S21" s="20">
        <f t="shared" si="7"/>
        <v>-32.830000000000098</v>
      </c>
      <c r="T21" s="20">
        <f t="shared" si="8"/>
        <v>-256.27</v>
      </c>
      <c r="U21">
        <f t="shared" si="9"/>
        <v>-39.961800407966692</v>
      </c>
      <c r="V21">
        <f t="shared" si="10"/>
        <v>-251.02612021680426</v>
      </c>
      <c r="W21">
        <f t="shared" si="11"/>
        <v>0.40820577136794578</v>
      </c>
      <c r="X21">
        <f t="shared" si="12"/>
        <v>-1.6155683467437072</v>
      </c>
      <c r="Y21">
        <f t="shared" si="13"/>
        <v>6.6485572411303249</v>
      </c>
      <c r="Z21">
        <f t="shared" si="14"/>
        <v>0.32636352426375037</v>
      </c>
      <c r="AA21">
        <f t="shared" si="15"/>
        <v>-32.905037395468419</v>
      </c>
      <c r="AB21">
        <f t="shared" si="16"/>
        <v>-252.31532503928426</v>
      </c>
    </row>
    <row r="22" spans="1:28" x14ac:dyDescent="0.3">
      <c r="A22" s="3">
        <v>39622</v>
      </c>
      <c r="B22">
        <v>3427.33</v>
      </c>
      <c r="C22" s="7">
        <v>5.4189999999999995E-2</v>
      </c>
      <c r="D22" s="5">
        <v>273.60000000000002</v>
      </c>
      <c r="E22" s="8">
        <v>0.27912836961771997</v>
      </c>
      <c r="F22" s="23">
        <f t="shared" si="0"/>
        <v>0.989041095890411</v>
      </c>
      <c r="G22" cm="1">
        <f t="array" ref="G22">BS_Delta("P",B22,$D$4,E22,F22,C22)+1</f>
        <v>0.64084249988560671</v>
      </c>
      <c r="H22" cm="1">
        <f t="array" ref="H22">BS_Gamma(B22,$D$4,E22,F22,C22)</f>
        <v>3.9290661138748951E-4</v>
      </c>
      <c r="I22" cm="1">
        <f t="array" ref="I22">BS_Theta("P",B22,$D$4,E22,F22,C22)</f>
        <v>-98.264001304708543</v>
      </c>
      <c r="J22" cm="1">
        <f t="array" ref="J22">BS_Vega(B22,$D$4,E22,F22,C22)</f>
        <v>1274.1468881233079</v>
      </c>
      <c r="K22" cm="1">
        <f t="array" ref="K22">VolatiliteRealisee(B20:B22)*252^0.5</f>
        <v>3.1000399129138989</v>
      </c>
      <c r="L22">
        <f t="shared" si="1"/>
        <v>0.989041095890411</v>
      </c>
      <c r="M22" cm="1">
        <f t="array" ref="M22">BS_Price("P",B22,$D$4,E22,C22,F22)</f>
        <v>19.836451289033196</v>
      </c>
      <c r="N22">
        <f t="shared" si="2"/>
        <v>2.188771311336668E-4</v>
      </c>
      <c r="O22">
        <f t="shared" si="3"/>
        <v>-9.6342005367376388E-2</v>
      </c>
      <c r="P22">
        <f t="shared" si="4"/>
        <v>0.75</v>
      </c>
      <c r="Q22">
        <f t="shared" si="5"/>
        <v>-350.52</v>
      </c>
      <c r="R22" s="20">
        <f t="shared" si="6"/>
        <v>-5.8999999999999773</v>
      </c>
      <c r="S22" s="20">
        <f t="shared" si="7"/>
        <v>-5.1499999999999773</v>
      </c>
      <c r="T22" s="20">
        <f t="shared" si="8"/>
        <v>-261.41999999999996</v>
      </c>
      <c r="U22">
        <f t="shared" si="9"/>
        <v>0.48055284185750968</v>
      </c>
      <c r="V22">
        <f t="shared" si="10"/>
        <v>-250.54556737494676</v>
      </c>
      <c r="W22">
        <f t="shared" si="11"/>
        <v>-0.81786719960858822</v>
      </c>
      <c r="X22">
        <f t="shared" si="12"/>
        <v>-2.4334355463522952</v>
      </c>
      <c r="Y22">
        <f t="shared" si="13"/>
        <v>-4.9774553675132243</v>
      </c>
      <c r="Z22">
        <f t="shared" si="14"/>
        <v>-4.6510918432494739</v>
      </c>
      <c r="AA22">
        <f t="shared" si="15"/>
        <v>-5.3147697252643029</v>
      </c>
      <c r="AB22">
        <f t="shared" si="16"/>
        <v>-257.63009476454857</v>
      </c>
    </row>
    <row r="23" spans="1:28" x14ac:dyDescent="0.3">
      <c r="A23" s="3">
        <v>39623</v>
      </c>
      <c r="B23">
        <v>3404.52</v>
      </c>
      <c r="C23" s="7">
        <v>5.4219999999999997E-2</v>
      </c>
      <c r="D23" s="5">
        <v>283.10000000000002</v>
      </c>
      <c r="E23" s="8">
        <v>0.28031773636058843</v>
      </c>
      <c r="F23" s="23">
        <f t="shared" si="0"/>
        <v>0.98630136986301364</v>
      </c>
      <c r="G23" cm="1">
        <f t="array" ref="G23">BS_Delta("P",B23,$D$4,E23,F23,C23)+1</f>
        <v>0.63158783477360703</v>
      </c>
      <c r="H23" cm="1">
        <f t="array" ref="H23">BS_Gamma(B23,$D$4,E23,F23,C23)</f>
        <v>3.9780910546496386E-4</v>
      </c>
      <c r="I23" cm="1">
        <f t="array" ref="I23">BS_Theta("P",B23,$D$4,E23,F23,C23)</f>
        <v>-97.802042571971569</v>
      </c>
      <c r="J23" cm="1">
        <f t="array" ref="J23">BS_Vega(B23,$D$4,E23,F23,C23)</f>
        <v>1274.8136730372976</v>
      </c>
      <c r="K23" cm="1">
        <f t="array" ref="K23">VolatiliteRealisee(B21:B23)*252^0.5</f>
        <v>1.1905214940824909</v>
      </c>
      <c r="L23">
        <f t="shared" si="1"/>
        <v>0.98630136986301364</v>
      </c>
      <c r="M23" cm="1">
        <f t="array" ref="M23">BS_Price("P",B23,$D$4,E23,C23,F23)</f>
        <v>24.215523404932192</v>
      </c>
      <c r="N23">
        <f t="shared" si="2"/>
        <v>-6.6553264494518902E-3</v>
      </c>
      <c r="O23">
        <f t="shared" si="3"/>
        <v>-0.10299733181682828</v>
      </c>
      <c r="P23">
        <f t="shared" si="4"/>
        <v>-22.809999999999945</v>
      </c>
      <c r="Q23">
        <f t="shared" si="5"/>
        <v>-373.32999999999993</v>
      </c>
      <c r="R23" s="20">
        <f t="shared" si="6"/>
        <v>9.5</v>
      </c>
      <c r="S23" s="20">
        <f t="shared" si="7"/>
        <v>-13.309999999999945</v>
      </c>
      <c r="T23" s="20">
        <f t="shared" si="8"/>
        <v>-274.7299999999999</v>
      </c>
      <c r="U23">
        <f t="shared" si="9"/>
        <v>-14.617617422390653</v>
      </c>
      <c r="V23">
        <f t="shared" si="10"/>
        <v>-265.16318479733741</v>
      </c>
      <c r="W23">
        <f t="shared" si="11"/>
        <v>-0.16700255314614559</v>
      </c>
      <c r="X23">
        <f t="shared" si="12"/>
        <v>-2.6004380994984406</v>
      </c>
      <c r="Y23">
        <f t="shared" si="13"/>
        <v>1.5154279342632009</v>
      </c>
      <c r="Z23">
        <f t="shared" si="14"/>
        <v>-3.135663908986273</v>
      </c>
      <c r="AA23">
        <f t="shared" si="15"/>
        <v>-13.269192041273598</v>
      </c>
      <c r="AB23">
        <f t="shared" si="16"/>
        <v>-270.89928680582216</v>
      </c>
    </row>
    <row r="24" spans="1:28" x14ac:dyDescent="0.3">
      <c r="A24" s="3">
        <v>39624</v>
      </c>
      <c r="B24">
        <v>3460.4</v>
      </c>
      <c r="C24" s="7">
        <v>5.4179999999999999E-2</v>
      </c>
      <c r="D24" s="5">
        <v>252.9</v>
      </c>
      <c r="E24" s="8">
        <v>0.27241304750401368</v>
      </c>
      <c r="F24" s="23">
        <f t="shared" si="0"/>
        <v>0.98356164383561639</v>
      </c>
      <c r="G24" cm="1">
        <f t="array" ref="G24">BS_Delta("P",B24,$D$4,E24,F24,C24)+1</f>
        <v>0.65450351916368876</v>
      </c>
      <c r="H24" cm="1">
        <f t="array" ref="H24">BS_Gamma(B24,$D$4,E24,F24,C24)</f>
        <v>3.9431480235631311E-4</v>
      </c>
      <c r="I24" cm="1">
        <f t="array" ref="I24">BS_Theta("P",B24,$D$4,E24,F24,C24)</f>
        <v>-96.71756945589101</v>
      </c>
      <c r="J24" cm="1">
        <f t="array" ref="J24">BS_Vega(B24,$D$4,E24,F24,C24)</f>
        <v>1265.1009331789767</v>
      </c>
      <c r="K24" cm="1">
        <f t="array" ref="K24">VolatiliteRealisee(B22:B24)*252^0.5</f>
        <v>3.1355312878465953</v>
      </c>
      <c r="L24">
        <f t="shared" si="1"/>
        <v>0.98356164383561639</v>
      </c>
      <c r="M24" cm="1">
        <f t="array" ref="M24">BS_Price("P",B24,$D$4,E24,C24,F24)</f>
        <v>14.014376988980835</v>
      </c>
      <c r="N24">
        <f t="shared" si="2"/>
        <v>1.6413473852408007E-2</v>
      </c>
      <c r="O24">
        <f t="shared" si="3"/>
        <v>-8.658385796442028E-2</v>
      </c>
      <c r="P24">
        <f t="shared" si="4"/>
        <v>55.880000000000109</v>
      </c>
      <c r="Q24">
        <f t="shared" si="5"/>
        <v>-317.44999999999982</v>
      </c>
      <c r="R24" s="20">
        <f t="shared" si="6"/>
        <v>-30.200000000000017</v>
      </c>
      <c r="S24" s="20">
        <f t="shared" si="7"/>
        <v>25.680000000000092</v>
      </c>
      <c r="T24" s="20">
        <f t="shared" si="8"/>
        <v>-249.04999999999981</v>
      </c>
      <c r="U24">
        <f t="shared" si="9"/>
        <v>35.29312820714923</v>
      </c>
      <c r="V24">
        <f t="shared" si="10"/>
        <v>-229.87005659018817</v>
      </c>
      <c r="W24">
        <f t="shared" si="11"/>
        <v>0.35314346283885517</v>
      </c>
      <c r="X24">
        <f t="shared" si="12"/>
        <v>-2.2472946366595856</v>
      </c>
      <c r="Y24">
        <f t="shared" si="13"/>
        <v>-10.077005435467051</v>
      </c>
      <c r="Z24">
        <f t="shared" si="14"/>
        <v>-13.212669344453325</v>
      </c>
      <c r="AA24">
        <f t="shared" si="15"/>
        <v>25.569266234521034</v>
      </c>
      <c r="AB24">
        <f t="shared" si="16"/>
        <v>-245.33002057130113</v>
      </c>
    </row>
    <row r="25" spans="1:28" x14ac:dyDescent="0.3">
      <c r="A25" s="3">
        <v>39625</v>
      </c>
      <c r="B25">
        <v>3366.35</v>
      </c>
      <c r="C25" s="7">
        <v>5.4080000000000003E-2</v>
      </c>
      <c r="D25" s="5">
        <v>294.8</v>
      </c>
      <c r="E25" s="8">
        <v>0.27847316710786052</v>
      </c>
      <c r="F25" s="23">
        <f t="shared" si="0"/>
        <v>0.98082191780821915</v>
      </c>
      <c r="G25" cm="1">
        <f t="array" ref="G25">BS_Delta("P",B25,$D$4,E25,F25,C25)+1</f>
        <v>0.61568240719852785</v>
      </c>
      <c r="H25" cm="1">
        <f t="array" ref="H25">BS_Gamma(B25,$D$4,E25,F25,C25)</f>
        <v>4.1151200799730497E-4</v>
      </c>
      <c r="I25" cm="1">
        <f t="array" ref="I25">BS_Theta("P",B25,$D$4,E25,F25,C25)</f>
        <v>-94.907725560221493</v>
      </c>
      <c r="J25" cm="1">
        <f t="array" ref="J25">BS_Vega(B25,$D$4,E25,F25,C25)</f>
        <v>1273.7217479599756</v>
      </c>
      <c r="K25" cm="1">
        <f t="array" ref="K25">VolatiliteRealisee(B23:B25)*252^0.5</f>
        <v>5.7030288561796407</v>
      </c>
      <c r="L25">
        <f t="shared" si="1"/>
        <v>0.98082191780821915</v>
      </c>
      <c r="M25" cm="1">
        <f t="array" ref="M25">BS_Price("P",B25,$D$4,E25,C25,F25)</f>
        <v>32.296249868241908</v>
      </c>
      <c r="N25">
        <f t="shared" si="2"/>
        <v>-2.7178938850999937E-2</v>
      </c>
      <c r="O25">
        <f t="shared" si="3"/>
        <v>-0.11376279681542022</v>
      </c>
      <c r="P25">
        <f t="shared" si="4"/>
        <v>-94.050000000000182</v>
      </c>
      <c r="Q25">
        <f t="shared" si="5"/>
        <v>-411.5</v>
      </c>
      <c r="R25" s="20">
        <f t="shared" si="6"/>
        <v>41.900000000000006</v>
      </c>
      <c r="S25" s="20">
        <f t="shared" si="7"/>
        <v>-52.150000000000176</v>
      </c>
      <c r="T25" s="20">
        <f t="shared" si="8"/>
        <v>-301.2</v>
      </c>
      <c r="U25">
        <f t="shared" si="9"/>
        <v>-61.556055977345046</v>
      </c>
      <c r="V25">
        <f t="shared" si="10"/>
        <v>-291.42611256753321</v>
      </c>
      <c r="W25">
        <f t="shared" si="11"/>
        <v>1.4789569269298688</v>
      </c>
      <c r="X25">
        <f t="shared" si="12"/>
        <v>-0.76833770972971682</v>
      </c>
      <c r="Y25">
        <f t="shared" si="13"/>
        <v>7.6666629660028427</v>
      </c>
      <c r="Z25">
        <f t="shared" si="14"/>
        <v>-5.5460063784504818</v>
      </c>
      <c r="AA25">
        <f t="shared" si="15"/>
        <v>-52.410436084412339</v>
      </c>
      <c r="AB25">
        <f t="shared" si="16"/>
        <v>-297.7404566557135</v>
      </c>
    </row>
    <row r="26" spans="1:28" x14ac:dyDescent="0.3">
      <c r="A26" s="3">
        <v>39626</v>
      </c>
      <c r="B26">
        <v>3340.27</v>
      </c>
      <c r="C26" s="7">
        <v>5.382E-2</v>
      </c>
      <c r="D26" s="5">
        <v>303.10000000000002</v>
      </c>
      <c r="E26" s="8">
        <v>0.27688417829122614</v>
      </c>
      <c r="F26" s="23">
        <f t="shared" si="0"/>
        <v>0.9780821917808219</v>
      </c>
      <c r="G26" cm="1">
        <f t="array" ref="G26">BS_Delta("P",B26,$D$4,E26,F26,C26)+1</f>
        <v>0.60427456171632354</v>
      </c>
      <c r="H26" cm="1">
        <f t="array" ref="H26">BS_Gamma(B26,$D$4,E26,F26,C26)</f>
        <v>4.2117189355655635E-4</v>
      </c>
      <c r="I26" cm="1">
        <f t="array" ref="I26">BS_Theta("P",B26,$D$4,E26,F26,C26)</f>
        <v>-92.677423519808585</v>
      </c>
      <c r="J26" cm="1">
        <f t="array" ref="J26">BS_Vega(B26,$D$4,E26,F26,C26)</f>
        <v>1272.6120145787977</v>
      </c>
      <c r="K26" cm="1">
        <f t="array" ref="K26">VolatiliteRealisee(B24:B26)*252^0.5</f>
        <v>5.1019045634653652</v>
      </c>
      <c r="L26">
        <f t="shared" si="1"/>
        <v>0.9780821917808219</v>
      </c>
      <c r="M26" cm="1">
        <f t="array" ref="M26">BS_Price("P",B26,$D$4,E26,C26,F26)</f>
        <v>38.929533890580096</v>
      </c>
      <c r="N26">
        <f t="shared" si="2"/>
        <v>-7.7472633564542983E-3</v>
      </c>
      <c r="O26">
        <f t="shared" si="3"/>
        <v>-0.12151006017187452</v>
      </c>
      <c r="P26">
        <f t="shared" si="4"/>
        <v>-26.079999999999927</v>
      </c>
      <c r="Q26">
        <f t="shared" si="5"/>
        <v>-437.57999999999993</v>
      </c>
      <c r="R26" s="20">
        <f t="shared" si="6"/>
        <v>8.3000000000000114</v>
      </c>
      <c r="S26" s="20">
        <f t="shared" si="7"/>
        <v>-17.779999999999916</v>
      </c>
      <c r="T26" s="20">
        <f t="shared" si="8"/>
        <v>-318.9799999999999</v>
      </c>
      <c r="U26">
        <f t="shared" si="9"/>
        <v>-16.056997179737561</v>
      </c>
      <c r="V26">
        <f t="shared" si="10"/>
        <v>-307.48310974727076</v>
      </c>
      <c r="W26">
        <f t="shared" si="11"/>
        <v>-0.12007284540026678</v>
      </c>
      <c r="X26">
        <f t="shared" si="12"/>
        <v>-0.88841055512998357</v>
      </c>
      <c r="Y26">
        <f t="shared" si="13"/>
        <v>-2.0239296130124016</v>
      </c>
      <c r="Z26">
        <f t="shared" si="14"/>
        <v>-7.5699359914628834</v>
      </c>
      <c r="AA26">
        <f t="shared" si="15"/>
        <v>-18.200999638150229</v>
      </c>
      <c r="AB26">
        <f t="shared" si="16"/>
        <v>-315.94145629386372</v>
      </c>
    </row>
    <row r="27" spans="1:28" x14ac:dyDescent="0.3">
      <c r="A27" s="3">
        <v>39629</v>
      </c>
      <c r="B27">
        <v>3352.81</v>
      </c>
      <c r="C27" s="7">
        <v>5.3899999999999997E-2</v>
      </c>
      <c r="D27" s="5">
        <v>289</v>
      </c>
      <c r="E27" s="8">
        <v>0.27035828565107317</v>
      </c>
      <c r="F27" s="23">
        <f t="shared" si="0"/>
        <v>0.96986301369863015</v>
      </c>
      <c r="G27" cm="1">
        <f t="array" ref="G27">BS_Delta("P",B27,$D$4,E27,F27,C27)+1</f>
        <v>0.60909874510501139</v>
      </c>
      <c r="H27" cm="1">
        <f t="array" ref="H27">BS_Gamma(B27,$D$4,E27,F27,C27)</f>
        <v>4.3007902166280207E-4</v>
      </c>
      <c r="I27" cm="1">
        <f t="array" ref="I27">BS_Theta("P",B27,$D$4,E27,F27,C27)</f>
        <v>-90.472052398789813</v>
      </c>
      <c r="J27" cm="1">
        <f t="array" ref="J27">BS_Vega(B27,$D$4,E27,F27,C27)</f>
        <v>1267.6992309820539</v>
      </c>
      <c r="K27" cm="1">
        <f t="array" ref="K27">VolatiliteRealisee(B25:B27)*252^0.5</f>
        <v>1.5383315269898314</v>
      </c>
      <c r="L27">
        <f t="shared" si="1"/>
        <v>0.96986301369863015</v>
      </c>
      <c r="M27" cm="1">
        <f t="array" ref="M27">BS_Price("P",B27,$D$4,E27,C27,F27)</f>
        <v>34.241816605224997</v>
      </c>
      <c r="N27">
        <f t="shared" si="2"/>
        <v>3.7541875357381179E-3</v>
      </c>
      <c r="O27">
        <f t="shared" si="3"/>
        <v>-0.1177558726361364</v>
      </c>
      <c r="P27">
        <f t="shared" si="4"/>
        <v>12.539999999999964</v>
      </c>
      <c r="Q27">
        <f t="shared" si="5"/>
        <v>-425.03999999999996</v>
      </c>
      <c r="R27" s="20">
        <f t="shared" si="6"/>
        <v>-14.100000000000023</v>
      </c>
      <c r="S27" s="20">
        <f t="shared" si="7"/>
        <v>-1.5600000000000591</v>
      </c>
      <c r="T27" s="20">
        <f t="shared" si="8"/>
        <v>-320.53999999999996</v>
      </c>
      <c r="U27">
        <f t="shared" si="9"/>
        <v>7.5776030039226754</v>
      </c>
      <c r="V27">
        <f t="shared" si="10"/>
        <v>-299.9055067433481</v>
      </c>
      <c r="W27">
        <f t="shared" si="11"/>
        <v>-0.72861727103961682</v>
      </c>
      <c r="X27">
        <f t="shared" si="12"/>
        <v>-1.6170278261696005</v>
      </c>
      <c r="Y27">
        <f t="shared" si="13"/>
        <v>-8.3049293797100123</v>
      </c>
      <c r="Z27">
        <f t="shared" si="14"/>
        <v>-15.874865371172895</v>
      </c>
      <c r="AA27">
        <f t="shared" si="15"/>
        <v>-1.4559436468269542</v>
      </c>
      <c r="AB27">
        <f t="shared" si="16"/>
        <v>-317.39739994069066</v>
      </c>
    </row>
    <row r="28" spans="1:28" x14ac:dyDescent="0.3">
      <c r="A28" s="3">
        <v>39630</v>
      </c>
      <c r="B28">
        <v>3292.86</v>
      </c>
      <c r="C28" s="7">
        <v>5.4179999999999999E-2</v>
      </c>
      <c r="D28" s="5">
        <v>316.7</v>
      </c>
      <c r="E28" s="8">
        <v>0.27366172620370233</v>
      </c>
      <c r="F28" s="23">
        <f t="shared" si="0"/>
        <v>0.9671232876712329</v>
      </c>
      <c r="G28" cm="1">
        <f t="array" ref="G28">BS_Delta("P",B28,$D$4,E28,F28,C28)+1</f>
        <v>0.58327884733723567</v>
      </c>
      <c r="H28" cm="1">
        <f t="array" ref="H28">BS_Gamma(B28,$D$4,E28,F28,C28)</f>
        <v>4.403310081796408E-4</v>
      </c>
      <c r="I28" cm="1">
        <f t="array" ref="I28">BS_Theta("P",B28,$D$4,E28,F28,C28)</f>
        <v>-87.277216380259006</v>
      </c>
      <c r="J28" cm="1">
        <f t="array" ref="J28">BS_Vega(B28,$D$4,E28,F28,C28)</f>
        <v>1263.6351724739422</v>
      </c>
      <c r="K28" cm="1">
        <f t="array" ref="K28">VolatiliteRealisee(B26:B28)*252^0.5</f>
        <v>3.2835813785692323</v>
      </c>
      <c r="L28">
        <f t="shared" si="1"/>
        <v>0.9671232876712329</v>
      </c>
      <c r="M28" cm="1">
        <f t="array" ref="M28">BS_Price("P",B28,$D$4,E28,C28,F28)</f>
        <v>53.808127357831346</v>
      </c>
      <c r="N28">
        <f t="shared" si="2"/>
        <v>-1.7880524097697102E-2</v>
      </c>
      <c r="O28">
        <f t="shared" si="3"/>
        <v>-0.13563639673383351</v>
      </c>
      <c r="P28">
        <f t="shared" si="4"/>
        <v>-59.949999999999818</v>
      </c>
      <c r="Q28">
        <f t="shared" si="5"/>
        <v>-484.98999999999978</v>
      </c>
      <c r="R28" s="20">
        <f t="shared" si="6"/>
        <v>27.699999999999989</v>
      </c>
      <c r="S28" s="20">
        <f t="shared" si="7"/>
        <v>-32.249999999999829</v>
      </c>
      <c r="T28" s="20">
        <f t="shared" si="8"/>
        <v>-352.78999999999979</v>
      </c>
      <c r="U28">
        <f t="shared" si="9"/>
        <v>-36.515469769045325</v>
      </c>
      <c r="V28">
        <f t="shared" si="10"/>
        <v>-336.42097651239339</v>
      </c>
      <c r="W28">
        <f t="shared" si="11"/>
        <v>0.5249839028178146</v>
      </c>
      <c r="X28">
        <f t="shared" si="12"/>
        <v>-1.092043923351786</v>
      </c>
      <c r="Y28">
        <f t="shared" si="13"/>
        <v>4.1877690481629113</v>
      </c>
      <c r="Z28">
        <f t="shared" si="14"/>
        <v>-11.687096323009984</v>
      </c>
      <c r="AA28">
        <f t="shared" si="15"/>
        <v>-31.802716818064599</v>
      </c>
      <c r="AB28">
        <f t="shared" si="16"/>
        <v>-349.20011675875526</v>
      </c>
    </row>
    <row r="29" spans="1:28" x14ac:dyDescent="0.3">
      <c r="A29" s="3">
        <v>39631</v>
      </c>
      <c r="B29">
        <v>3288.52</v>
      </c>
      <c r="C29" s="7">
        <v>5.4169999999999996E-2</v>
      </c>
      <c r="D29" s="5">
        <v>318.7</v>
      </c>
      <c r="E29" s="8">
        <v>0.2739861442797355</v>
      </c>
      <c r="F29" s="23">
        <f t="shared" si="0"/>
        <v>0.96438356164383565</v>
      </c>
      <c r="G29" cm="1">
        <f t="array" ref="G29">BS_Delta("P",B29,$D$4,E29,F29,C29)+1</f>
        <v>0.5811302439993572</v>
      </c>
      <c r="H29" cm="1">
        <f t="array" ref="H29">BS_Gamma(B29,$D$4,E29,F29,C29)</f>
        <v>4.4151913384992753E-4</v>
      </c>
      <c r="I29" cm="1">
        <f t="array" ref="I29">BS_Theta("P",B29,$D$4,E29,F29,C29)</f>
        <v>-87.335311498945927</v>
      </c>
      <c r="J29" cm="1">
        <f t="array" ref="J29">BS_Vega(B29,$D$4,E29,F29,C29)</f>
        <v>1261.6209839097278</v>
      </c>
      <c r="K29" cm="1">
        <f t="array" ref="K29">VolatiliteRealisee(B27:B29)*252^0.5</f>
        <v>3.2235540763231532</v>
      </c>
      <c r="L29">
        <f t="shared" si="1"/>
        <v>0.96438356164383565</v>
      </c>
      <c r="M29" cm="1">
        <f t="array" ref="M29">BS_Price("P",B29,$D$4,E29,C29,F29)</f>
        <v>55.686321941982008</v>
      </c>
      <c r="N29">
        <f t="shared" si="2"/>
        <v>-1.3180031947911982E-3</v>
      </c>
      <c r="O29">
        <f t="shared" si="3"/>
        <v>-0.13695439992862471</v>
      </c>
      <c r="P29">
        <f t="shared" si="4"/>
        <v>-4.3400000000001455</v>
      </c>
      <c r="Q29">
        <f t="shared" si="5"/>
        <v>-489.32999999999993</v>
      </c>
      <c r="R29" s="20">
        <f t="shared" si="6"/>
        <v>2</v>
      </c>
      <c r="S29" s="20">
        <f t="shared" si="7"/>
        <v>-2.3400000000001455</v>
      </c>
      <c r="T29" s="20">
        <f t="shared" si="8"/>
        <v>-355.12999999999994</v>
      </c>
      <c r="U29">
        <f t="shared" si="9"/>
        <v>-2.5314301974436879</v>
      </c>
      <c r="V29">
        <f t="shared" si="10"/>
        <v>-338.95240670983708</v>
      </c>
      <c r="W29">
        <f t="shared" si="11"/>
        <v>-0.2349687119469436</v>
      </c>
      <c r="X29">
        <f t="shared" si="12"/>
        <v>-1.3270126352987297</v>
      </c>
      <c r="Y29">
        <f t="shared" si="13"/>
        <v>0.40994609146184274</v>
      </c>
      <c r="Z29">
        <f t="shared" si="14"/>
        <v>-11.277150231548141</v>
      </c>
      <c r="AA29">
        <f t="shared" si="15"/>
        <v>-2.3564528179287887</v>
      </c>
      <c r="AB29">
        <f t="shared" si="16"/>
        <v>-351.55656957668407</v>
      </c>
    </row>
    <row r="30" spans="1:28" x14ac:dyDescent="0.3">
      <c r="A30" s="3">
        <v>39632</v>
      </c>
      <c r="B30">
        <v>3330.9</v>
      </c>
      <c r="C30" s="7">
        <v>5.4320000000000007E-2</v>
      </c>
      <c r="D30" s="5">
        <v>299.10000000000002</v>
      </c>
      <c r="E30" s="8">
        <v>0.27259481105569705</v>
      </c>
      <c r="F30" s="23">
        <f t="shared" si="0"/>
        <v>0.9616438356164384</v>
      </c>
      <c r="G30" cm="1">
        <f t="array" ref="G30">BS_Delta("P",B30,$D$4,E30,F30,C30)+1</f>
        <v>0.59957905867215899</v>
      </c>
      <c r="H30" cm="1">
        <f t="array" ref="H30">BS_Gamma(B30,$D$4,E30,F30,C30)</f>
        <v>4.3401608462499133E-4</v>
      </c>
      <c r="I30" cm="1">
        <f t="array" ref="I30">BS_Theta("P",B30,$D$4,E30,F30,C30)</f>
        <v>-90.212753549382285</v>
      </c>
      <c r="J30" cm="1">
        <f t="array" ref="J30">BS_Vega(B30,$D$4,E30,F30,C30)</f>
        <v>1262.2949665452497</v>
      </c>
      <c r="K30" cm="1">
        <f t="array" ref="K30">VolatiliteRealisee(B28:B30)*252^0.5</f>
        <v>2.2937915519830905</v>
      </c>
      <c r="L30">
        <f t="shared" si="1"/>
        <v>0.9616438356164384</v>
      </c>
      <c r="M30" cm="1">
        <f t="array" ref="M30">BS_Price("P",B30,$D$4,E30,C30,F30)</f>
        <v>41.252554382073257</v>
      </c>
      <c r="N30">
        <f t="shared" si="2"/>
        <v>1.2887256273338799E-2</v>
      </c>
      <c r="O30">
        <f t="shared" si="3"/>
        <v>-0.12406714365528591</v>
      </c>
      <c r="P30">
        <f t="shared" si="4"/>
        <v>42.380000000000109</v>
      </c>
      <c r="Q30">
        <f t="shared" si="5"/>
        <v>-446.94999999999982</v>
      </c>
      <c r="R30" s="20">
        <f t="shared" si="6"/>
        <v>-19.599999999999966</v>
      </c>
      <c r="S30" s="20">
        <f t="shared" si="7"/>
        <v>22.780000000000143</v>
      </c>
      <c r="T30" s="20">
        <f t="shared" si="8"/>
        <v>-332.3499999999998</v>
      </c>
      <c r="U30">
        <f t="shared" si="9"/>
        <v>24.628299740692821</v>
      </c>
      <c r="V30">
        <f t="shared" si="10"/>
        <v>-314.32410696914428</v>
      </c>
      <c r="W30">
        <f t="shared" si="11"/>
        <v>0.15722357308883755</v>
      </c>
      <c r="X30">
        <f t="shared" si="12"/>
        <v>-1.1697890622098921</v>
      </c>
      <c r="Y30">
        <f t="shared" si="13"/>
        <v>-1.7553351910576818</v>
      </c>
      <c r="Z30">
        <f t="shared" si="14"/>
        <v>-13.032485422605824</v>
      </c>
      <c r="AA30">
        <f t="shared" si="15"/>
        <v>23.030188122723978</v>
      </c>
      <c r="AB30">
        <f t="shared" si="16"/>
        <v>-328.52638145396008</v>
      </c>
    </row>
    <row r="31" spans="1:28" x14ac:dyDescent="0.3">
      <c r="A31" s="3">
        <v>39633</v>
      </c>
      <c r="B31">
        <v>3275.2</v>
      </c>
      <c r="C31" s="7">
        <v>5.3949999999999998E-2</v>
      </c>
      <c r="D31" s="5">
        <v>330.3</v>
      </c>
      <c r="E31" s="8">
        <v>0.27883272302289186</v>
      </c>
      <c r="F31" s="23">
        <f t="shared" si="0"/>
        <v>0.95890410958904104</v>
      </c>
      <c r="G31" cm="1">
        <f t="array" ref="G31">BS_Delta("P",B31,$D$4,E31,F31,C31)+1</f>
        <v>0.57496436857265432</v>
      </c>
      <c r="H31" cm="1">
        <f t="array" ref="H31">BS_Gamma(B31,$D$4,E31,F31,C31)</f>
        <v>4.3820964937930294E-4</v>
      </c>
      <c r="I31" cm="1">
        <f t="array" ref="I31">BS_Theta("P",B31,$D$4,E31,F31,C31)</f>
        <v>-89.809972205008378</v>
      </c>
      <c r="J31" cm="1">
        <f t="array" ref="J31">BS_Vega(B31,$D$4,E31,F31,C31)</f>
        <v>1256.8299086688789</v>
      </c>
      <c r="K31" cm="1">
        <f t="array" ref="K31">VolatiliteRealisee(B29:B31)*252^0.5</f>
        <v>3.7730514294977096</v>
      </c>
      <c r="L31">
        <f t="shared" si="1"/>
        <v>0.95890410958904104</v>
      </c>
      <c r="M31" cm="1">
        <f t="array" ref="M31">BS_Price("P",B31,$D$4,E31,C31,F31)</f>
        <v>62.745115810887945</v>
      </c>
      <c r="N31">
        <f t="shared" si="2"/>
        <v>-1.6722207211264304E-2</v>
      </c>
      <c r="O31">
        <f t="shared" si="3"/>
        <v>-0.14078935086655023</v>
      </c>
      <c r="P31">
        <f t="shared" si="4"/>
        <v>-55.700000000000273</v>
      </c>
      <c r="Q31">
        <f t="shared" si="5"/>
        <v>-502.65000000000009</v>
      </c>
      <c r="R31" s="20">
        <f t="shared" si="6"/>
        <v>31.199999999999989</v>
      </c>
      <c r="S31" s="20">
        <f t="shared" si="7"/>
        <v>-24.500000000000284</v>
      </c>
      <c r="T31" s="20">
        <f t="shared" si="8"/>
        <v>-356.85000000000008</v>
      </c>
      <c r="U31">
        <f t="shared" si="9"/>
        <v>-33.396553568039423</v>
      </c>
      <c r="V31">
        <f t="shared" si="10"/>
        <v>-347.72066053718368</v>
      </c>
      <c r="W31">
        <f t="shared" si="11"/>
        <v>0.426107052291684</v>
      </c>
      <c r="X31">
        <f t="shared" si="12"/>
        <v>-0.7436820099182081</v>
      </c>
      <c r="Y31">
        <f t="shared" si="13"/>
        <v>7.8740848779423844</v>
      </c>
      <c r="Z31">
        <f t="shared" si="14"/>
        <v>-5.1584005446634391</v>
      </c>
      <c r="AA31">
        <f t="shared" si="15"/>
        <v>-25.096361637805352</v>
      </c>
      <c r="AB31">
        <f t="shared" si="16"/>
        <v>-353.62274309176541</v>
      </c>
    </row>
    <row r="32" spans="1:28" x14ac:dyDescent="0.3">
      <c r="A32" s="3">
        <v>39636</v>
      </c>
      <c r="B32">
        <v>3332.66</v>
      </c>
      <c r="C32" s="7">
        <v>5.3929999999999999E-2</v>
      </c>
      <c r="D32" s="5">
        <v>301</v>
      </c>
      <c r="E32" s="8">
        <v>0.27497824014516858</v>
      </c>
      <c r="F32" s="23">
        <f t="shared" si="0"/>
        <v>0.9506849315068493</v>
      </c>
      <c r="G32" cm="1">
        <f t="array" ref="G32">BS_Delta("P",B32,$D$4,E32,F32,C32)+1</f>
        <v>0.59896563402569036</v>
      </c>
      <c r="H32" cm="1">
        <f t="array" ref="H32">BS_Gamma(B32,$D$4,E32,F32,C32)</f>
        <v>4.3267101787381292E-4</v>
      </c>
      <c r="I32" cm="1">
        <f t="array" ref="I32">BS_Theta("P",B32,$D$4,E32,F32,C32)</f>
        <v>-93.36875487818979</v>
      </c>
      <c r="J32" cm="1">
        <f t="array" ref="J32">BS_Vega(B32,$D$4,E32,F32,C32)</f>
        <v>1256.2462016996442</v>
      </c>
      <c r="K32" cm="1">
        <f t="array" ref="K32">VolatiliteRealisee(B30:B32)*252^0.5</f>
        <v>4.3166998429069858</v>
      </c>
      <c r="L32">
        <f t="shared" si="1"/>
        <v>0.9506849315068493</v>
      </c>
      <c r="M32" cm="1">
        <f t="array" ref="M32">BS_Price("P",B32,$D$4,E32,C32,F32)</f>
        <v>42.105698357869869</v>
      </c>
      <c r="N32">
        <f t="shared" si="2"/>
        <v>1.7543966780654629E-2</v>
      </c>
      <c r="O32">
        <f t="shared" si="3"/>
        <v>-0.1232453840858956</v>
      </c>
      <c r="P32">
        <f t="shared" si="4"/>
        <v>57.460000000000036</v>
      </c>
      <c r="Q32">
        <f t="shared" si="5"/>
        <v>-445.19000000000005</v>
      </c>
      <c r="R32" s="20">
        <f t="shared" si="6"/>
        <v>-29.300000000000011</v>
      </c>
      <c r="S32" s="20">
        <f t="shared" si="7"/>
        <v>28.160000000000025</v>
      </c>
      <c r="T32" s="20">
        <f t="shared" si="8"/>
        <v>-328.69000000000005</v>
      </c>
      <c r="U32">
        <f t="shared" si="9"/>
        <v>33.037452618184737</v>
      </c>
      <c r="V32">
        <f t="shared" si="10"/>
        <v>-314.68320791899896</v>
      </c>
      <c r="W32">
        <f t="shared" si="11"/>
        <v>-1.4756360105349753E-2</v>
      </c>
      <c r="X32">
        <f t="shared" si="12"/>
        <v>-0.75843837002355785</v>
      </c>
      <c r="Y32">
        <f t="shared" si="13"/>
        <v>-4.8444293631747017</v>
      </c>
      <c r="Z32">
        <f t="shared" si="14"/>
        <v>-10.002829907838141</v>
      </c>
      <c r="AA32">
        <f t="shared" si="15"/>
        <v>28.178266894904688</v>
      </c>
      <c r="AB32">
        <f t="shared" si="16"/>
        <v>-325.44447619686071</v>
      </c>
    </row>
    <row r="33" spans="1:28" x14ac:dyDescent="0.3">
      <c r="A33" s="3">
        <v>39637</v>
      </c>
      <c r="B33">
        <v>3287.6</v>
      </c>
      <c r="C33" s="7">
        <v>5.3789999999999998E-2</v>
      </c>
      <c r="D33" s="5">
        <v>325.5</v>
      </c>
      <c r="E33" s="8">
        <v>0.2797756864463532</v>
      </c>
      <c r="F33" s="23">
        <f t="shared" si="0"/>
        <v>0.94794520547945205</v>
      </c>
      <c r="G33" cm="1">
        <f t="array" ref="G33">BS_Delta("P",B33,$D$4,E33,F33,C33)+1</f>
        <v>0.57924964006366342</v>
      </c>
      <c r="H33" cm="1">
        <f t="array" ref="H33">BS_Gamma(B33,$D$4,E33,F33,C33)</f>
        <v>4.3666245661089063E-4</v>
      </c>
      <c r="I33" cm="1">
        <f t="array" ref="I33">BS_Theta("P",B33,$D$4,E33,F33,C33)</f>
        <v>-92.797277345317099</v>
      </c>
      <c r="J33" cm="1">
        <f t="array" ref="J33">BS_Vega(B33,$D$4,E33,F33,C33)</f>
        <v>1251.6906312381186</v>
      </c>
      <c r="K33" cm="1">
        <f t="array" ref="K33">VolatiliteRealisee(B31:B33)*252^0.5</f>
        <v>3.9355159239315207</v>
      </c>
      <c r="L33">
        <f t="shared" si="1"/>
        <v>0.94794520547945205</v>
      </c>
      <c r="M33" cm="1">
        <f t="array" ref="M33">BS_Price("P",B33,$D$4,E33,C33,F33)</f>
        <v>59.050494956770976</v>
      </c>
      <c r="N33">
        <f t="shared" si="2"/>
        <v>-1.35207311876999E-2</v>
      </c>
      <c r="O33">
        <f t="shared" si="3"/>
        <v>-0.1367661152735955</v>
      </c>
      <c r="P33">
        <f t="shared" si="4"/>
        <v>-45.059999999999945</v>
      </c>
      <c r="Q33">
        <f t="shared" si="5"/>
        <v>-490.25</v>
      </c>
      <c r="R33" s="20">
        <f t="shared" si="6"/>
        <v>24.5</v>
      </c>
      <c r="S33" s="20">
        <f t="shared" si="7"/>
        <v>-20.559999999999945</v>
      </c>
      <c r="T33" s="20">
        <f t="shared" si="8"/>
        <v>-349.25</v>
      </c>
      <c r="U33">
        <f t="shared" si="9"/>
        <v>-26.989391469197574</v>
      </c>
      <c r="V33">
        <f t="shared" si="10"/>
        <v>-341.67259938819655</v>
      </c>
      <c r="W33">
        <f t="shared" si="11"/>
        <v>0.18344358826787455</v>
      </c>
      <c r="X33">
        <f t="shared" si="12"/>
        <v>-0.5749947817556833</v>
      </c>
      <c r="Y33">
        <f t="shared" si="13"/>
        <v>6.0267736937211804</v>
      </c>
      <c r="Z33">
        <f t="shared" si="14"/>
        <v>-3.9760562141169604</v>
      </c>
      <c r="AA33">
        <f t="shared" si="15"/>
        <v>-20.779174187208518</v>
      </c>
      <c r="AB33">
        <f t="shared" si="16"/>
        <v>-346.22365038406923</v>
      </c>
    </row>
    <row r="34" spans="1:28" x14ac:dyDescent="0.3">
      <c r="A34" s="3">
        <v>39638</v>
      </c>
      <c r="B34">
        <v>3342.48</v>
      </c>
      <c r="C34" s="7">
        <v>5.3960000000000001E-2</v>
      </c>
      <c r="D34" s="5">
        <v>294.60000000000002</v>
      </c>
      <c r="E34" s="8">
        <v>0.27344667374392151</v>
      </c>
      <c r="F34" s="23">
        <f t="shared" si="0"/>
        <v>0.9452054794520548</v>
      </c>
      <c r="G34" cm="1">
        <f t="array" ref="G34">BS_Delta("P",B34,$D$4,E34,F34,C34)+1</f>
        <v>0.60279733055514151</v>
      </c>
      <c r="H34" cm="1">
        <f t="array" ref="H34">BS_Gamma(B34,$D$4,E34,F34,C34)</f>
        <v>4.3396943722542777E-4</v>
      </c>
      <c r="I34" cm="1">
        <f t="array" ref="I34">BS_Theta("P",B34,$D$4,E34,F34,C34)</f>
        <v>-93.728037462313281</v>
      </c>
      <c r="J34" cm="1">
        <f t="array" ref="J34">BS_Vega(B34,$D$4,E34,F34,C34)</f>
        <v>1253.1286378218661</v>
      </c>
      <c r="K34" cm="1">
        <f t="array" ref="K34">VolatiliteRealisee(B32:B34)*252^0.5</f>
        <v>3.8192285350873028</v>
      </c>
      <c r="L34">
        <f t="shared" si="1"/>
        <v>0.9452054794520548</v>
      </c>
      <c r="M34" cm="1">
        <f t="array" ref="M34">BS_Price("P",B34,$D$4,E34,C34,F34)</f>
        <v>39.109602095458605</v>
      </c>
      <c r="N34">
        <f t="shared" si="2"/>
        <v>1.6693028348947595E-2</v>
      </c>
      <c r="O34">
        <f t="shared" si="3"/>
        <v>-0.12007308692464791</v>
      </c>
      <c r="P34">
        <f t="shared" si="4"/>
        <v>54.880000000000109</v>
      </c>
      <c r="Q34">
        <f t="shared" si="5"/>
        <v>-435.36999999999989</v>
      </c>
      <c r="R34" s="20">
        <f t="shared" si="6"/>
        <v>-30.899999999999977</v>
      </c>
      <c r="S34" s="20">
        <f t="shared" si="7"/>
        <v>23.980000000000132</v>
      </c>
      <c r="T34" s="20">
        <f t="shared" si="8"/>
        <v>-325.26999999999987</v>
      </c>
      <c r="U34">
        <f t="shared" si="9"/>
        <v>31.789220246693912</v>
      </c>
      <c r="V34">
        <f t="shared" si="10"/>
        <v>-309.88337914150264</v>
      </c>
      <c r="W34">
        <f t="shared" si="11"/>
        <v>0.40333402136546304</v>
      </c>
      <c r="X34">
        <f t="shared" si="12"/>
        <v>-0.17166076039022027</v>
      </c>
      <c r="Y34">
        <f t="shared" si="13"/>
        <v>-7.9219659046207944</v>
      </c>
      <c r="Z34">
        <f t="shared" si="14"/>
        <v>-11.898022118737755</v>
      </c>
      <c r="AA34">
        <f t="shared" si="15"/>
        <v>24.270588363438581</v>
      </c>
      <c r="AB34">
        <f t="shared" si="16"/>
        <v>-321.95306202063063</v>
      </c>
    </row>
    <row r="35" spans="1:28" x14ac:dyDescent="0.3">
      <c r="A35" s="3">
        <v>39639</v>
      </c>
      <c r="B35">
        <v>3283.01</v>
      </c>
      <c r="C35" s="7">
        <v>5.3840000000000006E-2</v>
      </c>
      <c r="D35" s="5">
        <v>331.3</v>
      </c>
      <c r="E35" s="8">
        <v>0.2833442136271645</v>
      </c>
      <c r="F35" s="23">
        <f t="shared" si="0"/>
        <v>0.94246575342465755</v>
      </c>
      <c r="G35" cm="1">
        <f t="array" ref="G35">BS_Delta("P",B35,$D$4,E35,F35,C35)+1</f>
        <v>0.57719097739161074</v>
      </c>
      <c r="H35" cm="1">
        <f t="array" ref="H35">BS_Gamma(B35,$D$4,E35,F35,C35)</f>
        <v>4.3346898724605867E-4</v>
      </c>
      <c r="I35" cm="1">
        <f t="array" ref="I35">BS_Theta("P",B35,$D$4,E35,F35,C35)</f>
        <v>-94.971366907376478</v>
      </c>
      <c r="J35" cm="1">
        <f t="array" ref="J35">BS_Vega(B35,$D$4,E35,F35,C35)</f>
        <v>1247.6201158321262</v>
      </c>
      <c r="K35" cm="1">
        <f t="array" ref="K35">VolatiliteRealisee(B33:B35)*252^0.5</f>
        <v>4.351518957029735</v>
      </c>
      <c r="L35">
        <f t="shared" si="1"/>
        <v>0.94246575342465755</v>
      </c>
      <c r="M35" cm="1">
        <f t="array" ref="M35">BS_Price("P",B35,$D$4,E35,C35,F35)</f>
        <v>62.238534543350305</v>
      </c>
      <c r="N35">
        <f t="shared" si="2"/>
        <v>-1.7792178262846688E-2</v>
      </c>
      <c r="O35">
        <f t="shared" si="3"/>
        <v>-0.13786526518749459</v>
      </c>
      <c r="P35">
        <f t="shared" si="4"/>
        <v>-59.4699999999998</v>
      </c>
      <c r="Q35">
        <f t="shared" si="5"/>
        <v>-494.83999999999969</v>
      </c>
      <c r="R35" s="20">
        <f t="shared" si="6"/>
        <v>36.699999999999989</v>
      </c>
      <c r="S35" s="20">
        <f t="shared" si="7"/>
        <v>-22.769999999999811</v>
      </c>
      <c r="T35" s="20">
        <f t="shared" si="8"/>
        <v>-348.03999999999968</v>
      </c>
      <c r="U35">
        <f t="shared" si="9"/>
        <v>-35.848357248114148</v>
      </c>
      <c r="V35">
        <f t="shared" si="10"/>
        <v>-345.7317363896168</v>
      </c>
      <c r="W35">
        <f t="shared" si="11"/>
        <v>0.51061656617708939</v>
      </c>
      <c r="X35">
        <f t="shared" si="12"/>
        <v>0.33895580578686912</v>
      </c>
      <c r="Y35">
        <f t="shared" si="13"/>
        <v>12.402890671675879</v>
      </c>
      <c r="Z35">
        <f t="shared" si="14"/>
        <v>0.50486855293812383</v>
      </c>
      <c r="AA35">
        <f t="shared" si="15"/>
        <v>-22.934850010261179</v>
      </c>
      <c r="AB35">
        <f t="shared" si="16"/>
        <v>-344.88791203089181</v>
      </c>
    </row>
    <row r="36" spans="1:28" x14ac:dyDescent="0.3">
      <c r="A36" s="3">
        <v>39640</v>
      </c>
      <c r="B36">
        <v>3197.78</v>
      </c>
      <c r="C36" s="7">
        <v>5.3879999999999997E-2</v>
      </c>
      <c r="D36" s="5">
        <v>376.7</v>
      </c>
      <c r="E36" s="8">
        <v>0.28990486511893987</v>
      </c>
      <c r="F36" s="23">
        <f t="shared" si="0"/>
        <v>0.9397260273972603</v>
      </c>
      <c r="G36" cm="1">
        <f t="array" ref="G36">BS_Delta("P",B36,$D$4,E36,F36,C36)+1</f>
        <v>0.54081667563916525</v>
      </c>
      <c r="H36" cm="1">
        <f t="array" ref="H36">BS_Gamma(B36,$D$4,E36,F36,C36)</f>
        <v>4.4159518829309902E-4</v>
      </c>
      <c r="I36" cm="1">
        <f t="array" ref="I36">BS_Theta("P",B36,$D$4,E36,F36,C36)</f>
        <v>-90.346831189786087</v>
      </c>
      <c r="J36" cm="1">
        <f t="array" ref="J36">BS_Vega(B36,$D$4,E36,F36,C36)</f>
        <v>1230.2071752862571</v>
      </c>
      <c r="K36" cm="1">
        <f t="array" ref="K36">VolatiliteRealisee(B34:B36)*252^0.5</f>
        <v>5.6747038315359246</v>
      </c>
      <c r="L36">
        <f t="shared" si="1"/>
        <v>0.9397260273972603</v>
      </c>
      <c r="M36" cm="1">
        <f t="array" ref="M36">BS_Price("P",B36,$D$4,E36,C36,F36)</f>
        <v>104.55540760996672</v>
      </c>
      <c r="N36">
        <f t="shared" si="2"/>
        <v>-2.5960932193322597E-2</v>
      </c>
      <c r="O36">
        <f t="shared" si="3"/>
        <v>-0.16382619738081719</v>
      </c>
      <c r="P36">
        <f t="shared" si="4"/>
        <v>-85.230000000000018</v>
      </c>
      <c r="Q36">
        <f t="shared" si="5"/>
        <v>-580.06999999999971</v>
      </c>
      <c r="R36" s="20">
        <f t="shared" si="6"/>
        <v>45.399999999999977</v>
      </c>
      <c r="S36" s="20">
        <f t="shared" si="7"/>
        <v>-39.830000000000041</v>
      </c>
      <c r="T36" s="20">
        <f t="shared" si="8"/>
        <v>-387.86999999999972</v>
      </c>
      <c r="U36">
        <f t="shared" si="9"/>
        <v>-49.193987003086995</v>
      </c>
      <c r="V36">
        <f t="shared" si="10"/>
        <v>-394.92572339270379</v>
      </c>
      <c r="W36">
        <f t="shared" si="11"/>
        <v>1.3141969746081266</v>
      </c>
      <c r="X36">
        <f t="shared" si="12"/>
        <v>1.6531527803949957</v>
      </c>
      <c r="Y36">
        <f t="shared" si="13"/>
        <v>8.1852007741030004</v>
      </c>
      <c r="Z36">
        <f t="shared" si="14"/>
        <v>8.6900693270411242</v>
      </c>
      <c r="AA36">
        <f t="shared" si="15"/>
        <v>-39.69458925437587</v>
      </c>
      <c r="AB36">
        <f t="shared" si="16"/>
        <v>-384.58250128526765</v>
      </c>
    </row>
    <row r="37" spans="1:28" x14ac:dyDescent="0.3">
      <c r="A37" s="3">
        <v>39643</v>
      </c>
      <c r="B37">
        <v>3216.24</v>
      </c>
      <c r="C37" s="7">
        <v>5.3840000000000006E-2</v>
      </c>
      <c r="D37" s="5">
        <v>362.3</v>
      </c>
      <c r="E37" s="8">
        <v>0.28559143898769124</v>
      </c>
      <c r="F37" s="23">
        <f t="shared" si="0"/>
        <v>0.93150684931506844</v>
      </c>
      <c r="G37" cm="1">
        <f t="array" ref="G37">BS_Delta("P",B37,$D$4,E37,F37,C37)+1</f>
        <v>0.54704185011606243</v>
      </c>
      <c r="H37" cm="1">
        <f t="array" ref="H37">BS_Gamma(B37,$D$4,E37,F37,C37)</f>
        <v>4.4687910680851176E-4</v>
      </c>
      <c r="I37" cm="1">
        <f t="array" ref="I37">BS_Theta("P",B37,$D$4,E37,F37,C37)</f>
        <v>-90.57407686497622</v>
      </c>
      <c r="J37" cm="1">
        <f t="array" ref="J37">BS_Vega(B37,$D$4,E37,F37,C37)</f>
        <v>1229.7538345090422</v>
      </c>
      <c r="K37" cm="1">
        <f t="array" ref="K37">VolatiliteRealisee(B35:B37)*252^0.5</f>
        <v>4.7980253181301986</v>
      </c>
      <c r="L37">
        <f t="shared" si="1"/>
        <v>0.93150684931506844</v>
      </c>
      <c r="M37" cm="1">
        <f t="array" ref="M37">BS_Price("P",B37,$D$4,E37,C37,F37)</f>
        <v>94.249435698984129</v>
      </c>
      <c r="N37">
        <f t="shared" si="2"/>
        <v>5.7727548486761378E-3</v>
      </c>
      <c r="O37">
        <f t="shared" si="3"/>
        <v>-0.15805344253214104</v>
      </c>
      <c r="P37">
        <f t="shared" si="4"/>
        <v>18.459999999999582</v>
      </c>
      <c r="Q37">
        <f t="shared" si="5"/>
        <v>-561.61000000000013</v>
      </c>
      <c r="R37" s="20">
        <f t="shared" si="6"/>
        <v>-14.399999999999977</v>
      </c>
      <c r="S37" s="20">
        <f t="shared" si="7"/>
        <v>4.0599999999996044</v>
      </c>
      <c r="T37" s="20">
        <f t="shared" si="8"/>
        <v>-383.81000000000012</v>
      </c>
      <c r="U37">
        <f t="shared" si="9"/>
        <v>9.9834758322987636</v>
      </c>
      <c r="V37">
        <f t="shared" si="10"/>
        <v>-384.94224756040501</v>
      </c>
      <c r="W37">
        <f t="shared" si="11"/>
        <v>-0.66733514527710358</v>
      </c>
      <c r="X37">
        <f t="shared" si="12"/>
        <v>0.98581763511789211</v>
      </c>
      <c r="Y37">
        <f t="shared" si="13"/>
        <v>-5.3064077767293076</v>
      </c>
      <c r="Z37">
        <f t="shared" si="14"/>
        <v>3.3836615503118166</v>
      </c>
      <c r="AA37">
        <f t="shared" si="15"/>
        <v>4.0097329102923522</v>
      </c>
      <c r="AB37">
        <f t="shared" si="16"/>
        <v>-380.57276837497528</v>
      </c>
    </row>
    <row r="38" spans="1:28" x14ac:dyDescent="0.3">
      <c r="A38" s="3">
        <v>39644</v>
      </c>
      <c r="B38">
        <v>3142.73</v>
      </c>
      <c r="C38" s="7">
        <v>5.3739999999999996E-2</v>
      </c>
      <c r="D38" s="5">
        <v>402.2</v>
      </c>
      <c r="E38" s="8">
        <v>0.2900868002745301</v>
      </c>
      <c r="F38" s="23">
        <f t="shared" si="0"/>
        <v>0.92876712328767119</v>
      </c>
      <c r="G38" cm="1">
        <f t="array" ref="G38">BS_Delta("P",B38,$D$4,E38,F38,C38)+1</f>
        <v>0.51470406509596722</v>
      </c>
      <c r="H38" cm="1">
        <f t="array" ref="H38">BS_Gamma(B38,$D$4,E38,F38,C38)</f>
        <v>4.5376028836319199E-4</v>
      </c>
      <c r="I38" cm="1">
        <f t="array" ref="I38">BS_Theta("P",B38,$D$4,E38,F38,C38)</f>
        <v>-84.991371228698739</v>
      </c>
      <c r="J38" cm="1">
        <f t="array" ref="J38">BS_Vega(B38,$D$4,E38,F38,C38)</f>
        <v>1207.4674414760407</v>
      </c>
      <c r="K38" cm="1">
        <f t="array" ref="K38">VolatiliteRealisee(B36:B38)*252^0.5</f>
        <v>4.2457319594451901</v>
      </c>
      <c r="L38">
        <f t="shared" si="1"/>
        <v>0.92876712328767119</v>
      </c>
      <c r="M38" cm="1">
        <f t="array" ref="M38">BS_Price("P",B38,$D$4,E38,C38,F38)</f>
        <v>139.10187521143743</v>
      </c>
      <c r="N38">
        <f t="shared" si="2"/>
        <v>-2.285588140188536E-2</v>
      </c>
      <c r="O38">
        <f t="shared" si="3"/>
        <v>-0.18090932393402639</v>
      </c>
      <c r="P38">
        <f t="shared" si="4"/>
        <v>-73.509999999999764</v>
      </c>
      <c r="Q38">
        <f t="shared" si="5"/>
        <v>-635.11999999999989</v>
      </c>
      <c r="R38" s="20">
        <f t="shared" si="6"/>
        <v>39.899999999999977</v>
      </c>
      <c r="S38" s="20">
        <f t="shared" si="7"/>
        <v>-33.609999999999786</v>
      </c>
      <c r="T38" s="20">
        <f t="shared" si="8"/>
        <v>-417.4199999999999</v>
      </c>
      <c r="U38">
        <f t="shared" si="9"/>
        <v>-40.213046402031623</v>
      </c>
      <c r="V38">
        <f t="shared" si="10"/>
        <v>-425.15529396243664</v>
      </c>
      <c r="W38">
        <f t="shared" si="11"/>
        <v>0.9592566500711377</v>
      </c>
      <c r="X38">
        <f t="shared" si="12"/>
        <v>1.9450742851890297</v>
      </c>
      <c r="Y38">
        <f t="shared" si="13"/>
        <v>5.5281877799935923</v>
      </c>
      <c r="Z38">
        <f t="shared" si="14"/>
        <v>8.911849330305408</v>
      </c>
      <c r="AA38">
        <f t="shared" si="15"/>
        <v>-33.725601971966896</v>
      </c>
      <c r="AB38">
        <f t="shared" si="16"/>
        <v>-414.29837034694219</v>
      </c>
    </row>
    <row r="39" spans="1:28" x14ac:dyDescent="0.3">
      <c r="A39" s="3">
        <v>39645</v>
      </c>
      <c r="B39">
        <v>3174.76</v>
      </c>
      <c r="C39" s="7">
        <v>5.3689999999999995E-2</v>
      </c>
      <c r="D39" s="5">
        <v>385.3</v>
      </c>
      <c r="E39" s="8">
        <v>0.28890979680940609</v>
      </c>
      <c r="F39" s="23">
        <f t="shared" si="0"/>
        <v>0.92602739726027394</v>
      </c>
      <c r="G39" cm="1">
        <f t="array" ref="G39">BS_Delta("P",B39,$D$4,E39,F39,C39)+1</f>
        <v>0.52841979726177057</v>
      </c>
      <c r="H39" cm="1">
        <f t="array" ref="H39">BS_Gamma(B39,$D$4,E39,F39,C39)</f>
        <v>4.5083863360254273E-4</v>
      </c>
      <c r="I39" cm="1">
        <f t="array" ref="I39">BS_Theta("P",B39,$D$4,E39,F39,C39)</f>
        <v>-88.574330323095282</v>
      </c>
      <c r="J39" cm="1">
        <f t="array" ref="J39">BS_Vega(B39,$D$4,E39,F39,C39)</f>
        <v>1215.7073129958737</v>
      </c>
      <c r="K39" cm="1">
        <f t="array" ref="K39">VolatiliteRealisee(B37:B39)*252^0.5</f>
        <v>4.4987821102070598</v>
      </c>
      <c r="L39">
        <f t="shared" si="1"/>
        <v>0.92602739726027394</v>
      </c>
      <c r="M39" cm="1">
        <f t="array" ref="M39">BS_Price("P",B39,$D$4,E39,C39,F39)</f>
        <v>119.10229206742767</v>
      </c>
      <c r="N39">
        <f t="shared" si="2"/>
        <v>1.0191775940026728E-2</v>
      </c>
      <c r="O39">
        <f t="shared" si="3"/>
        <v>-0.17071754799399966</v>
      </c>
      <c r="P39">
        <f t="shared" si="4"/>
        <v>32.0300000000002</v>
      </c>
      <c r="Q39">
        <f t="shared" si="5"/>
        <v>-603.08999999999969</v>
      </c>
      <c r="R39" s="20">
        <f t="shared" si="6"/>
        <v>-16.899999999999977</v>
      </c>
      <c r="S39" s="20">
        <f t="shared" si="7"/>
        <v>15.130000000000223</v>
      </c>
      <c r="T39" s="20">
        <f t="shared" si="8"/>
        <v>-402.28999999999968</v>
      </c>
      <c r="U39">
        <f t="shared" si="9"/>
        <v>16.485971205023933</v>
      </c>
      <c r="V39">
        <f t="shared" si="10"/>
        <v>-408.66932275741271</v>
      </c>
      <c r="W39">
        <f t="shared" si="11"/>
        <v>-9.1990148532949956E-5</v>
      </c>
      <c r="X39">
        <f t="shared" si="12"/>
        <v>1.9449822950404967</v>
      </c>
      <c r="Y39">
        <f t="shared" si="13"/>
        <v>-1.4211933626417161</v>
      </c>
      <c r="Z39">
        <f t="shared" si="14"/>
        <v>7.4906559676636917</v>
      </c>
      <c r="AA39">
        <f t="shared" si="15"/>
        <v>15.064685852233684</v>
      </c>
      <c r="AB39">
        <f t="shared" si="16"/>
        <v>-399.23368449470848</v>
      </c>
    </row>
    <row r="40" spans="1:28" x14ac:dyDescent="0.3">
      <c r="A40" s="3">
        <v>39646</v>
      </c>
      <c r="B40">
        <v>3256.09</v>
      </c>
      <c r="C40" s="7">
        <v>5.3769999999999998E-2</v>
      </c>
      <c r="D40" s="5">
        <v>333.7</v>
      </c>
      <c r="E40" s="8">
        <v>0.27728817985828347</v>
      </c>
      <c r="F40" s="23">
        <f t="shared" si="0"/>
        <v>0.92328767123287669</v>
      </c>
      <c r="G40" cm="1">
        <f t="array" ref="G40">BS_Delta("P",B40,$D$4,E40,F40,C40)+1</f>
        <v>0.56246767658014241</v>
      </c>
      <c r="H40" cm="1">
        <f t="array" ref="H40">BS_Gamma(B40,$D$4,E40,F40,C40)</f>
        <v>4.541985315853621E-4</v>
      </c>
      <c r="I40" cm="1">
        <f t="array" ref="I40">BS_Theta("P",B40,$D$4,E40,F40,C40)</f>
        <v>-90.581441273379042</v>
      </c>
      <c r="J40" cm="1">
        <f t="array" ref="J40">BS_Vega(B40,$D$4,E40,F40,C40)</f>
        <v>1232.8405775860547</v>
      </c>
      <c r="K40" cm="1">
        <f t="array" ref="K40">VolatiliteRealisee(B38:B40)*252^0.5</f>
        <v>4.8560308874416149</v>
      </c>
      <c r="L40">
        <f t="shared" si="1"/>
        <v>0.92328767123287669</v>
      </c>
      <c r="M40" cm="1">
        <f t="array" ref="M40">BS_Price("P",B40,$D$4,E40,C40,F40)</f>
        <v>73.27307684296251</v>
      </c>
      <c r="N40">
        <f t="shared" si="2"/>
        <v>2.561768448638635E-2</v>
      </c>
      <c r="O40">
        <f t="shared" si="3"/>
        <v>-0.14509986350761331</v>
      </c>
      <c r="P40">
        <f t="shared" si="4"/>
        <v>81.329999999999927</v>
      </c>
      <c r="Q40">
        <f t="shared" si="5"/>
        <v>-521.75999999999976</v>
      </c>
      <c r="R40" s="20">
        <f t="shared" si="6"/>
        <v>-51.600000000000023</v>
      </c>
      <c r="S40" s="20">
        <f t="shared" si="7"/>
        <v>29.729999999999905</v>
      </c>
      <c r="T40" s="20">
        <f t="shared" si="8"/>
        <v>-372.55999999999977</v>
      </c>
      <c r="U40">
        <f t="shared" si="9"/>
        <v>42.976382111299763</v>
      </c>
      <c r="V40">
        <f t="shared" si="10"/>
        <v>-365.69294064611296</v>
      </c>
      <c r="W40">
        <f t="shared" si="11"/>
        <v>1.2483822042274677</v>
      </c>
      <c r="X40">
        <f t="shared" si="12"/>
        <v>3.1933644992679646</v>
      </c>
      <c r="Y40">
        <f t="shared" si="13"/>
        <v>-14.128484716316587</v>
      </c>
      <c r="Z40">
        <f t="shared" si="14"/>
        <v>-6.6378287486528951</v>
      </c>
      <c r="AA40">
        <f t="shared" si="15"/>
        <v>30.096279599210646</v>
      </c>
      <c r="AB40">
        <f t="shared" si="16"/>
        <v>-369.13740489549787</v>
      </c>
    </row>
    <row r="41" spans="1:28" x14ac:dyDescent="0.3">
      <c r="A41" s="3">
        <v>39647</v>
      </c>
      <c r="B41">
        <v>3321.53</v>
      </c>
      <c r="C41" s="7">
        <v>5.3749999999999999E-2</v>
      </c>
      <c r="D41" s="5">
        <v>300.7</v>
      </c>
      <c r="E41" s="8">
        <v>0.27317240542789128</v>
      </c>
      <c r="F41" s="23">
        <f t="shared" si="0"/>
        <v>0.92054794520547945</v>
      </c>
      <c r="G41" cm="1">
        <f t="array" ref="G41">BS_Delta("P",B41,$D$4,E41,F41,C41)+1</f>
        <v>0.59124257903827604</v>
      </c>
      <c r="H41" cm="1">
        <f t="array" ref="H41">BS_Gamma(B41,$D$4,E41,F41,C41)</f>
        <v>4.4622148397067827E-4</v>
      </c>
      <c r="I41" cm="1">
        <f t="array" ref="I41">BS_Theta("P",B41,$D$4,E41,F41,C41)</f>
        <v>-94.544644743921125</v>
      </c>
      <c r="J41" cm="1">
        <f t="array" ref="J41">BS_Vega(B41,$D$4,E41,F41,C41)</f>
        <v>1237.9698694338392</v>
      </c>
      <c r="K41" cm="1">
        <f t="array" ref="K41">VolatiliteRealisee(B39:B41)*252^0.5</f>
        <v>5.73483327048453</v>
      </c>
      <c r="L41">
        <f t="shared" si="1"/>
        <v>0.92054794520547945</v>
      </c>
      <c r="M41" cm="1">
        <f t="array" ref="M41">BS_Price("P",B41,$D$4,E41,C41,F41)</f>
        <v>46.940830420403472</v>
      </c>
      <c r="N41">
        <f t="shared" si="2"/>
        <v>2.0097724571495276E-2</v>
      </c>
      <c r="O41">
        <f t="shared" si="3"/>
        <v>-0.12500213893611803</v>
      </c>
      <c r="P41">
        <f t="shared" si="4"/>
        <v>65.440000000000055</v>
      </c>
      <c r="Q41">
        <f t="shared" si="5"/>
        <v>-456.31999999999971</v>
      </c>
      <c r="R41" s="20">
        <f t="shared" si="6"/>
        <v>-33</v>
      </c>
      <c r="S41" s="20">
        <f t="shared" si="7"/>
        <v>32.440000000000055</v>
      </c>
      <c r="T41" s="20">
        <f t="shared" si="8"/>
        <v>-340.11999999999972</v>
      </c>
      <c r="U41">
        <f t="shared" si="9"/>
        <v>36.807884755404551</v>
      </c>
      <c r="V41">
        <f t="shared" si="10"/>
        <v>-328.88505589070843</v>
      </c>
      <c r="W41">
        <f t="shared" si="11"/>
        <v>0.72436011013944479</v>
      </c>
      <c r="X41">
        <f t="shared" si="12"/>
        <v>3.9177246094074096</v>
      </c>
      <c r="Y41">
        <f t="shared" si="13"/>
        <v>-5.0740937259786136</v>
      </c>
      <c r="Z41">
        <f t="shared" si="14"/>
        <v>-11.711922474631509</v>
      </c>
      <c r="AA41">
        <f t="shared" si="15"/>
        <v>32.458151139565381</v>
      </c>
      <c r="AB41">
        <f t="shared" si="16"/>
        <v>-336.67925375593251</v>
      </c>
    </row>
    <row r="42" spans="1:28" x14ac:dyDescent="0.3">
      <c r="A42" s="3">
        <v>39650</v>
      </c>
      <c r="B42">
        <v>3333.92</v>
      </c>
      <c r="C42" s="7">
        <v>5.4130000000000005E-2</v>
      </c>
      <c r="D42" s="5">
        <v>292.5</v>
      </c>
      <c r="E42" s="8">
        <v>0.27170292148967923</v>
      </c>
      <c r="F42" s="23">
        <f t="shared" si="0"/>
        <v>0.9123287671232877</v>
      </c>
      <c r="G42" cm="1">
        <f t="array" ref="G42">BS_Delta("P",B42,$D$4,E42,F42,C42)+1</f>
        <v>0.59654892792725989</v>
      </c>
      <c r="H42" cm="1">
        <f t="array" ref="H42">BS_Gamma(B42,$D$4,E42,F42,C42)</f>
        <v>4.4751933987620607E-4</v>
      </c>
      <c r="I42" cm="1">
        <f t="array" ref="I42">BS_Theta("P",B42,$D$4,E42,F42,C42)</f>
        <v>-94.961565918050695</v>
      </c>
      <c r="J42" cm="1">
        <f t="array" ref="J42">BS_Vega(B42,$D$4,E42,F42,C42)</f>
        <v>1233.0135079803281</v>
      </c>
      <c r="K42" cm="1">
        <f t="array" ref="K42">VolatiliteRealisee(B40:B42)*252^0.5</f>
        <v>3.6072560681561554</v>
      </c>
      <c r="L42">
        <f t="shared" si="1"/>
        <v>0.9123287671232877</v>
      </c>
      <c r="M42" cm="1">
        <f t="array" ref="M42">BS_Price("P",B42,$D$4,E42,C42,F42)</f>
        <v>42.964900679081701</v>
      </c>
      <c r="N42">
        <f t="shared" si="2"/>
        <v>3.7302086688965242E-3</v>
      </c>
      <c r="O42">
        <f t="shared" si="3"/>
        <v>-0.12127193026722151</v>
      </c>
      <c r="P42">
        <f t="shared" si="4"/>
        <v>12.389999999999873</v>
      </c>
      <c r="Q42">
        <f t="shared" si="5"/>
        <v>-443.92999999999984</v>
      </c>
      <c r="R42" s="20">
        <f t="shared" si="6"/>
        <v>-8.1999999999999886</v>
      </c>
      <c r="S42" s="20">
        <f t="shared" si="7"/>
        <v>4.189999999999884</v>
      </c>
      <c r="T42" s="20">
        <f t="shared" si="8"/>
        <v>-335.92999999999984</v>
      </c>
      <c r="U42">
        <f t="shared" si="9"/>
        <v>7.3254955542841644</v>
      </c>
      <c r="V42">
        <f t="shared" si="10"/>
        <v>-321.55956033642428</v>
      </c>
      <c r="W42">
        <f t="shared" si="11"/>
        <v>-0.74282907333311798</v>
      </c>
      <c r="X42">
        <f t="shared" si="12"/>
        <v>3.1748955360742919</v>
      </c>
      <c r="Y42">
        <f t="shared" si="13"/>
        <v>-1.8191768391235044</v>
      </c>
      <c r="Z42">
        <f t="shared" si="14"/>
        <v>-13.531099313755012</v>
      </c>
      <c r="AA42">
        <f t="shared" si="15"/>
        <v>4.7634896418275421</v>
      </c>
      <c r="AB42">
        <f t="shared" si="16"/>
        <v>-331.91576411410495</v>
      </c>
    </row>
    <row r="43" spans="1:28" x14ac:dyDescent="0.3">
      <c r="A43" s="3">
        <v>39651</v>
      </c>
      <c r="B43">
        <v>3326.24</v>
      </c>
      <c r="C43" s="7">
        <v>5.4179999999999999E-2</v>
      </c>
      <c r="D43" s="5">
        <v>292.39999999999998</v>
      </c>
      <c r="E43" s="8">
        <v>0.26936521678320219</v>
      </c>
      <c r="F43" s="23">
        <f t="shared" si="0"/>
        <v>0.90958904109589045</v>
      </c>
      <c r="G43" cm="1">
        <f t="array" ref="G43">BS_Delta("P",B43,$D$4,E43,F43,C43)+1</f>
        <v>0.59285929482382915</v>
      </c>
      <c r="H43" cm="1">
        <f t="array" ref="H43">BS_Gamma(B43,$D$4,E43,F43,C43)</f>
        <v>4.5416112609147647E-4</v>
      </c>
      <c r="I43" cm="1">
        <f t="array" ref="I43">BS_Theta("P",B43,$D$4,E43,F43,C43)</f>
        <v>-93.077696009686321</v>
      </c>
      <c r="J43" cm="1">
        <f t="array" ref="J43">BS_Vega(B43,$D$4,E43,F43,C43)</f>
        <v>1231.1298334688681</v>
      </c>
      <c r="K43" cm="1">
        <f t="array" ref="K43">VolatiliteRealisee(B41:B43)*252^0.5</f>
        <v>0.78041775187402462</v>
      </c>
      <c r="L43">
        <f t="shared" si="1"/>
        <v>0.90958904109589045</v>
      </c>
      <c r="M43" cm="1">
        <f t="array" ref="M43">BS_Price("P",B43,$D$4,E43,C43,F43)</f>
        <v>44.879041964565971</v>
      </c>
      <c r="N43">
        <f t="shared" si="2"/>
        <v>-2.3035945673562327E-3</v>
      </c>
      <c r="O43">
        <f t="shared" si="3"/>
        <v>-0.12357552483457775</v>
      </c>
      <c r="P43">
        <f t="shared" si="4"/>
        <v>-7.680000000000291</v>
      </c>
      <c r="Q43">
        <f t="shared" si="5"/>
        <v>-451.61000000000013</v>
      </c>
      <c r="R43" s="20">
        <f t="shared" si="6"/>
        <v>-0.10000000000002274</v>
      </c>
      <c r="S43" s="20">
        <f t="shared" si="7"/>
        <v>-7.7800000000003138</v>
      </c>
      <c r="T43" s="20">
        <f t="shared" si="8"/>
        <v>-343.71000000000015</v>
      </c>
      <c r="U43">
        <f t="shared" si="9"/>
        <v>-4.5814957664815292</v>
      </c>
      <c r="V43">
        <f t="shared" si="10"/>
        <v>-326.14105610290579</v>
      </c>
      <c r="W43">
        <f t="shared" si="11"/>
        <v>-0.24697079139192593</v>
      </c>
      <c r="X43">
        <f t="shared" si="12"/>
        <v>2.927924744682366</v>
      </c>
      <c r="Y43">
        <f t="shared" si="13"/>
        <v>-2.8824214807553776</v>
      </c>
      <c r="Z43">
        <f t="shared" si="14"/>
        <v>-16.41352079451039</v>
      </c>
      <c r="AA43">
        <f t="shared" si="15"/>
        <v>-7.7108880386288323</v>
      </c>
      <c r="AB43">
        <f t="shared" si="16"/>
        <v>-339.62665215273375</v>
      </c>
    </row>
    <row r="44" spans="1:28" x14ac:dyDescent="0.3">
      <c r="A44" s="3">
        <v>39652</v>
      </c>
      <c r="B44">
        <v>3387.5</v>
      </c>
      <c r="C44" s="7">
        <v>5.4320000000000007E-2</v>
      </c>
      <c r="D44" s="5">
        <v>264.39999999999998</v>
      </c>
      <c r="E44" s="8">
        <v>0.2665683292697395</v>
      </c>
      <c r="F44" s="23">
        <f t="shared" si="0"/>
        <v>0.9068493150684932</v>
      </c>
      <c r="G44" cm="1">
        <f t="array" ref="G44">BS_Delta("P",B44,$D$4,E44,F44,C44)+1</f>
        <v>0.62037560654865276</v>
      </c>
      <c r="H44" cm="1">
        <f t="array" ref="H44">BS_Gamma(B44,$D$4,E44,F44,C44)</f>
        <v>4.4264920055757861E-4</v>
      </c>
      <c r="I44" cm="1">
        <f t="array" ref="I44">BS_Theta("P",B44,$D$4,E44,F44,C44)</f>
        <v>-96.253644072659199</v>
      </c>
      <c r="J44" cm="1">
        <f t="array" ref="J44">BS_Vega(B44,$D$4,E44,F44,C44)</f>
        <v>1227.8970933510125</v>
      </c>
      <c r="K44" cm="1">
        <f t="array" ref="K44">VolatiliteRealisee(B42:B44)*252^0.5</f>
        <v>3.2777853072204683</v>
      </c>
      <c r="L44">
        <f t="shared" si="1"/>
        <v>0.9068493150684932</v>
      </c>
      <c r="M44" cm="1">
        <f t="array" ref="M44">BS_Price("P",B44,$D$4,E44,C44,F44)</f>
        <v>27.748885895689515</v>
      </c>
      <c r="N44">
        <f t="shared" si="2"/>
        <v>1.8417191784116667E-2</v>
      </c>
      <c r="O44">
        <f t="shared" si="3"/>
        <v>-0.10515833305046107</v>
      </c>
      <c r="P44">
        <f t="shared" si="4"/>
        <v>61.260000000000218</v>
      </c>
      <c r="Q44">
        <f t="shared" si="5"/>
        <v>-390.34999999999991</v>
      </c>
      <c r="R44" s="20">
        <f t="shared" si="6"/>
        <v>-28</v>
      </c>
      <c r="S44" s="20">
        <f t="shared" si="7"/>
        <v>33.260000000000218</v>
      </c>
      <c r="T44" s="20">
        <f t="shared" si="8"/>
        <v>-310.44999999999993</v>
      </c>
      <c r="U44">
        <f t="shared" si="9"/>
        <v>36.318560400907906</v>
      </c>
      <c r="V44">
        <f t="shared" si="10"/>
        <v>-289.82249570199787</v>
      </c>
      <c r="W44">
        <f t="shared" si="11"/>
        <v>0.5971777348711631</v>
      </c>
      <c r="X44">
        <f t="shared" si="12"/>
        <v>3.5251024795535288</v>
      </c>
      <c r="Y44">
        <f t="shared" si="13"/>
        <v>-3.4433316586804743</v>
      </c>
      <c r="Z44">
        <f t="shared" si="14"/>
        <v>-19.856852453190864</v>
      </c>
      <c r="AA44">
        <f t="shared" si="15"/>
        <v>33.472406477098595</v>
      </c>
      <c r="AB44">
        <f t="shared" si="16"/>
        <v>-306.15424567563514</v>
      </c>
    </row>
    <row r="45" spans="1:28" x14ac:dyDescent="0.3">
      <c r="A45" s="3">
        <v>39653</v>
      </c>
      <c r="B45">
        <v>3354.58</v>
      </c>
      <c r="C45" s="7">
        <v>5.4089999999999999E-2</v>
      </c>
      <c r="D45" s="5">
        <v>286.39999999999998</v>
      </c>
      <c r="E45" s="8">
        <v>0.27404771696447339</v>
      </c>
      <c r="F45" s="23">
        <f t="shared" si="0"/>
        <v>0.90410958904109584</v>
      </c>
      <c r="G45" cm="1">
        <f t="array" ref="G45">BS_Delta("P",B45,$D$4,E45,F45,C45)+1</f>
        <v>0.605015065987631</v>
      </c>
      <c r="H45" cm="1">
        <f t="array" ref="H45">BS_Gamma(B45,$D$4,E45,F45,C45)</f>
        <v>4.4048415089016646E-4</v>
      </c>
      <c r="I45" cm="1">
        <f t="array" ref="I45">BS_Theta("P",B45,$D$4,E45,F45,C45)</f>
        <v>-98.974309983091985</v>
      </c>
      <c r="J45" cm="1">
        <f t="array" ref="J45">BS_Vega(B45,$D$4,E45,F45,C45)</f>
        <v>1228.1569133367375</v>
      </c>
      <c r="K45" cm="1">
        <f t="array" ref="K45">VolatiliteRealisee(B43:B45)*252^0.5</f>
        <v>3.6882368929040856</v>
      </c>
      <c r="L45">
        <f t="shared" si="1"/>
        <v>0.90410958904109584</v>
      </c>
      <c r="M45" cm="1">
        <f t="array" ref="M45">BS_Price("P",B45,$D$4,E45,C45,F45)</f>
        <v>38.006299396234446</v>
      </c>
      <c r="N45">
        <f t="shared" si="2"/>
        <v>-9.718081180811829E-3</v>
      </c>
      <c r="O45">
        <f t="shared" si="3"/>
        <v>-0.1148764142312729</v>
      </c>
      <c r="P45">
        <f t="shared" si="4"/>
        <v>-32.920000000000073</v>
      </c>
      <c r="Q45">
        <f t="shared" si="5"/>
        <v>-423.27</v>
      </c>
      <c r="R45" s="20">
        <f t="shared" si="6"/>
        <v>22</v>
      </c>
      <c r="S45" s="20">
        <f t="shared" si="7"/>
        <v>-10.920000000000073</v>
      </c>
      <c r="T45" s="20">
        <f t="shared" si="8"/>
        <v>-321.37</v>
      </c>
      <c r="U45">
        <f t="shared" si="9"/>
        <v>-20.422764967581696</v>
      </c>
      <c r="V45">
        <f t="shared" si="10"/>
        <v>-310.24526066957958</v>
      </c>
      <c r="W45">
        <f t="shared" si="11"/>
        <v>-2.3853301606124061E-2</v>
      </c>
      <c r="X45">
        <f t="shared" si="12"/>
        <v>3.5012491779474049</v>
      </c>
      <c r="Y45">
        <f t="shared" si="13"/>
        <v>9.183918410409067</v>
      </c>
      <c r="Z45">
        <f t="shared" si="14"/>
        <v>-10.672934042781797</v>
      </c>
      <c r="AA45">
        <f t="shared" si="15"/>
        <v>-11.262699858778753</v>
      </c>
      <c r="AB45">
        <f t="shared" si="16"/>
        <v>-317.41694553441391</v>
      </c>
    </row>
    <row r="46" spans="1:28" x14ac:dyDescent="0.3">
      <c r="A46" s="3">
        <v>39654</v>
      </c>
      <c r="B46">
        <v>3351.13</v>
      </c>
      <c r="C46" s="7">
        <v>5.3870000000000001E-2</v>
      </c>
      <c r="D46" s="5">
        <v>284.89999999999998</v>
      </c>
      <c r="E46" s="8">
        <v>0.27167125614297566</v>
      </c>
      <c r="F46" s="23">
        <f t="shared" si="0"/>
        <v>0.90136986301369859</v>
      </c>
      <c r="G46" cm="1">
        <f t="array" ref="G46">BS_Delta("P",B46,$D$4,E46,F46,C46)+1</f>
        <v>0.60298841334122666</v>
      </c>
      <c r="H46" cm="1">
        <f t="array" ref="H46">BS_Gamma(B46,$D$4,E46,F46,C46)</f>
        <v>4.460885769267185E-4</v>
      </c>
      <c r="I46" cm="1">
        <f t="array" ref="I46">BS_Theta("P",B46,$D$4,E46,F46,C46)</f>
        <v>-97.849472903315274</v>
      </c>
      <c r="J46" cm="1">
        <f t="array" ref="J46">BS_Vega(B46,$D$4,E46,F46,C46)</f>
        <v>1226.7339315194649</v>
      </c>
      <c r="K46" cm="1">
        <f t="array" ref="K46">VolatiliteRealisee(B44:B46)*252^0.5</f>
        <v>1.7497759697202477</v>
      </c>
      <c r="L46">
        <f t="shared" si="1"/>
        <v>0.90136986301369859</v>
      </c>
      <c r="M46" cm="1">
        <f t="array" ref="M46">BS_Price("P",B46,$D$4,E46,C46,F46)</f>
        <v>38.544926288177258</v>
      </c>
      <c r="N46">
        <f t="shared" si="2"/>
        <v>-1.0284446935234272E-3</v>
      </c>
      <c r="O46">
        <f t="shared" si="3"/>
        <v>-0.11590485892479632</v>
      </c>
      <c r="P46">
        <f t="shared" si="4"/>
        <v>-3.4499999999998181</v>
      </c>
      <c r="Q46">
        <f t="shared" si="5"/>
        <v>-426.7199999999998</v>
      </c>
      <c r="R46" s="20">
        <f t="shared" si="6"/>
        <v>-1.5</v>
      </c>
      <c r="S46" s="20">
        <f t="shared" si="7"/>
        <v>-4.9499999999998181</v>
      </c>
      <c r="T46" s="20">
        <f t="shared" si="8"/>
        <v>-326.31999999999982</v>
      </c>
      <c r="U46">
        <f t="shared" si="9"/>
        <v>-2.087301977657217</v>
      </c>
      <c r="V46">
        <f t="shared" si="10"/>
        <v>-312.33256264723678</v>
      </c>
      <c r="W46">
        <f t="shared" si="11"/>
        <v>-0.26854106180137677</v>
      </c>
      <c r="X46">
        <f t="shared" si="12"/>
        <v>3.232708116146028</v>
      </c>
      <c r="Y46">
        <f t="shared" si="13"/>
        <v>-2.918666787196337</v>
      </c>
      <c r="Z46">
        <f t="shared" si="14"/>
        <v>-13.591600829978134</v>
      </c>
      <c r="AA46">
        <f t="shared" si="15"/>
        <v>-5.2745098266549313</v>
      </c>
      <c r="AB46">
        <f t="shared" si="16"/>
        <v>-322.69145536106885</v>
      </c>
    </row>
    <row r="47" spans="1:28" x14ac:dyDescent="0.3">
      <c r="A47" s="3">
        <v>39657</v>
      </c>
      <c r="B47">
        <v>3313.41</v>
      </c>
      <c r="C47" s="7">
        <v>5.389E-2</v>
      </c>
      <c r="D47" s="5">
        <v>303.2</v>
      </c>
      <c r="E47" s="8">
        <v>0.27479790729135362</v>
      </c>
      <c r="F47" s="23">
        <f t="shared" si="0"/>
        <v>0.89315068493150684</v>
      </c>
      <c r="G47" cm="1">
        <f t="array" ref="G47">BS_Delta("P",B47,$D$4,E47,F47,C47)+1</f>
        <v>0.58544800897195448</v>
      </c>
      <c r="H47" cm="1">
        <f t="array" ref="H47">BS_Gamma(B47,$D$4,E47,F47,C47)</f>
        <v>4.5294123496724336E-4</v>
      </c>
      <c r="I47" cm="1">
        <f t="array" ref="I47">BS_Theta("P",B47,$D$4,E47,F47,C47)</f>
        <v>-97.392229205805933</v>
      </c>
      <c r="J47" cm="1">
        <f t="array" ref="J47">BS_Vega(B47,$D$4,E47,F47,C47)</f>
        <v>1220.4791759645786</v>
      </c>
      <c r="K47" cm="1">
        <f t="array" ref="K47">VolatiliteRealisee(B45:B47)*252^0.5</f>
        <v>2.0253896713839348</v>
      </c>
      <c r="L47">
        <f t="shared" si="1"/>
        <v>0.89315068493150684</v>
      </c>
      <c r="M47" cm="1">
        <f t="array" ref="M47">BS_Price("P",B47,$D$4,E47,C47,F47)</f>
        <v>51.844332613803019</v>
      </c>
      <c r="N47">
        <f t="shared" si="2"/>
        <v>-1.1255904724675036E-2</v>
      </c>
      <c r="O47">
        <f t="shared" si="3"/>
        <v>-0.12716076364947135</v>
      </c>
      <c r="P47">
        <f t="shared" si="4"/>
        <v>-37.720000000000255</v>
      </c>
      <c r="Q47">
        <f t="shared" si="5"/>
        <v>-464.44000000000005</v>
      </c>
      <c r="R47" s="20">
        <f t="shared" si="6"/>
        <v>18.300000000000011</v>
      </c>
      <c r="S47" s="20">
        <f t="shared" si="7"/>
        <v>-19.420000000000243</v>
      </c>
      <c r="T47" s="20">
        <f t="shared" si="8"/>
        <v>-345.74000000000007</v>
      </c>
      <c r="U47">
        <f t="shared" si="9"/>
        <v>-22.744722951231225</v>
      </c>
      <c r="V47">
        <f t="shared" si="10"/>
        <v>-335.07728559846799</v>
      </c>
      <c r="W47">
        <f t="shared" si="11"/>
        <v>-0.4868951862861372</v>
      </c>
      <c r="X47">
        <f t="shared" si="12"/>
        <v>2.7458129298598908</v>
      </c>
      <c r="Y47">
        <f t="shared" si="13"/>
        <v>3.835569055739541</v>
      </c>
      <c r="Z47">
        <f t="shared" si="14"/>
        <v>-9.7560317742385934</v>
      </c>
      <c r="AA47">
        <f t="shared" si="15"/>
        <v>-19.396049081777821</v>
      </c>
      <c r="AB47">
        <f t="shared" si="16"/>
        <v>-342.08750444284669</v>
      </c>
    </row>
    <row r="48" spans="1:28" x14ac:dyDescent="0.3">
      <c r="A48" s="3">
        <v>39658</v>
      </c>
      <c r="B48">
        <v>3324.86</v>
      </c>
      <c r="C48" s="7">
        <v>5.3800000000000001E-2</v>
      </c>
      <c r="D48" s="5">
        <v>295.10000000000002</v>
      </c>
      <c r="E48" s="8">
        <v>0.27213612757606603</v>
      </c>
      <c r="F48" s="23">
        <f t="shared" si="0"/>
        <v>0.8904109589041096</v>
      </c>
      <c r="G48" cm="1">
        <f t="array" ref="G48">BS_Delta("P",B48,$D$4,E48,F48,C48)+1</f>
        <v>0.59014469034780048</v>
      </c>
      <c r="H48" cm="1">
        <f t="array" ref="H48">BS_Gamma(B48,$D$4,E48,F48,C48)</f>
        <v>4.5527653780226042E-4</v>
      </c>
      <c r="I48" cm="1">
        <f t="array" ref="I48">BS_Theta("P",B48,$D$4,E48,F48,C48)</f>
        <v>-97.174760649048508</v>
      </c>
      <c r="J48" cm="1">
        <f t="array" ref="J48">BS_Vega(B48,$D$4,E48,F48,C48)</f>
        <v>1219.5474246896047</v>
      </c>
      <c r="K48" cm="1">
        <f t="array" ref="K48">VolatiliteRealisee(B46:B48)*252^0.5</f>
        <v>2.1086599042160357</v>
      </c>
      <c r="L48">
        <f t="shared" si="1"/>
        <v>0.8904109589041096</v>
      </c>
      <c r="M48" cm="1">
        <f t="array" ref="M48">BS_Price("P",B48,$D$4,E48,C48,F48)</f>
        <v>47.389758495959391</v>
      </c>
      <c r="N48">
        <f t="shared" si="2"/>
        <v>3.455654446627575E-3</v>
      </c>
      <c r="O48">
        <f t="shared" si="3"/>
        <v>-0.12370510920284378</v>
      </c>
      <c r="P48">
        <f t="shared" si="4"/>
        <v>11.450000000000273</v>
      </c>
      <c r="Q48">
        <f t="shared" si="5"/>
        <v>-452.98999999999978</v>
      </c>
      <c r="R48" s="20">
        <f t="shared" si="6"/>
        <v>-8.0999999999999659</v>
      </c>
      <c r="S48" s="20">
        <f t="shared" si="7"/>
        <v>3.350000000000307</v>
      </c>
      <c r="T48" s="20">
        <f t="shared" si="8"/>
        <v>-342.38999999999976</v>
      </c>
      <c r="U48">
        <f t="shared" si="9"/>
        <v>6.7033797027290385</v>
      </c>
      <c r="V48">
        <f t="shared" si="10"/>
        <v>-328.37390589573897</v>
      </c>
      <c r="W48">
        <f t="shared" si="11"/>
        <v>-0.23713716109273816</v>
      </c>
      <c r="X48">
        <f t="shared" si="12"/>
        <v>2.5086757687671528</v>
      </c>
      <c r="Y48">
        <f t="shared" si="13"/>
        <v>-3.2486467135134189</v>
      </c>
      <c r="Z48">
        <f t="shared" si="14"/>
        <v>-13.004678487752013</v>
      </c>
      <c r="AA48">
        <f t="shared" si="15"/>
        <v>3.2175958281228816</v>
      </c>
      <c r="AB48">
        <f t="shared" si="16"/>
        <v>-338.86990861472384</v>
      </c>
    </row>
    <row r="49" spans="1:28" x14ac:dyDescent="0.3">
      <c r="A49" s="3">
        <v>39659</v>
      </c>
      <c r="B49">
        <v>3367.33</v>
      </c>
      <c r="C49" s="7">
        <v>5.3689999999999995E-2</v>
      </c>
      <c r="D49" s="5">
        <v>272</v>
      </c>
      <c r="E49" s="8">
        <v>0.26722691247562119</v>
      </c>
      <c r="F49" s="23">
        <f t="shared" si="0"/>
        <v>0.88767123287671235</v>
      </c>
      <c r="G49" cm="1">
        <f t="array" ref="G49">BS_Delta("P",B49,$D$4,E49,F49,C49)+1</f>
        <v>0.60904517567593275</v>
      </c>
      <c r="H49" cm="1">
        <f t="array" ref="H49">BS_Gamma(B49,$D$4,E49,F49,C49)</f>
        <v>4.5287350941615727E-4</v>
      </c>
      <c r="I49" cm="1">
        <f t="array" ref="I49">BS_Theta("P",B49,$D$4,E49,F49,C49)</f>
        <v>-98.063887857974592</v>
      </c>
      <c r="J49" cm="1">
        <f t="array" ref="J49">BS_Vega(B49,$D$4,E49,F49,C49)</f>
        <v>1218.0934737218784</v>
      </c>
      <c r="K49" cm="1">
        <f t="array" ref="K49">VolatiliteRealisee(B47:B49)*252^0.5</f>
        <v>2.3437485946854442</v>
      </c>
      <c r="L49">
        <f t="shared" si="1"/>
        <v>0.88767123287671235</v>
      </c>
      <c r="M49" cm="1">
        <f t="array" ref="M49">BS_Price("P",B49,$D$4,E49,C49,F49)</f>
        <v>33.732368199368892</v>
      </c>
      <c r="N49">
        <f t="shared" si="2"/>
        <v>1.2773470161149582E-2</v>
      </c>
      <c r="O49">
        <f t="shared" si="3"/>
        <v>-0.1109316390416942</v>
      </c>
      <c r="P49">
        <f t="shared" si="4"/>
        <v>42.4699999999998</v>
      </c>
      <c r="Q49">
        <f t="shared" si="5"/>
        <v>-410.52</v>
      </c>
      <c r="R49" s="20">
        <f t="shared" si="6"/>
        <v>-23.100000000000023</v>
      </c>
      <c r="S49" s="20">
        <f t="shared" si="7"/>
        <v>19.369999999999777</v>
      </c>
      <c r="T49" s="20">
        <f t="shared" si="8"/>
        <v>-323.02</v>
      </c>
      <c r="U49">
        <f t="shared" si="9"/>
        <v>25.063444999070967</v>
      </c>
      <c r="V49">
        <f t="shared" si="10"/>
        <v>-303.31046089666802</v>
      </c>
      <c r="W49">
        <f t="shared" si="11"/>
        <v>0.14435912953510943</v>
      </c>
      <c r="X49">
        <f t="shared" si="12"/>
        <v>2.6530348983022622</v>
      </c>
      <c r="Y49">
        <f t="shared" si="13"/>
        <v>-5.9870206329948257</v>
      </c>
      <c r="Z49">
        <f t="shared" si="14"/>
        <v>-18.991699120746837</v>
      </c>
      <c r="AA49">
        <f t="shared" si="15"/>
        <v>19.220783495611251</v>
      </c>
      <c r="AB49">
        <f t="shared" si="16"/>
        <v>-319.64912511911257</v>
      </c>
    </row>
    <row r="50" spans="1:28" x14ac:dyDescent="0.3">
      <c r="A50" s="3">
        <v>39660</v>
      </c>
      <c r="B50">
        <v>3367.82</v>
      </c>
      <c r="C50" s="7">
        <v>5.3659999999999999E-2</v>
      </c>
      <c r="D50" s="5">
        <v>276.39999999999998</v>
      </c>
      <c r="E50" s="8">
        <v>0.27118796388740918</v>
      </c>
      <c r="F50" s="23">
        <f t="shared" si="0"/>
        <v>0.8849315068493151</v>
      </c>
      <c r="G50" cm="1">
        <f t="array" ref="G50">BS_Delta("P",B50,$D$4,E50,F50,C50)+1</f>
        <v>0.60888532740005918</v>
      </c>
      <c r="H50" cm="1">
        <f t="array" ref="H50">BS_Gamma(B50,$D$4,E50,F50,C50)</f>
        <v>4.4693541193730369E-4</v>
      </c>
      <c r="I50" cm="1">
        <f t="array" ref="I50">BS_Theta("P",B50,$D$4,E50,F50,C50)</f>
        <v>-100.89040683235221</v>
      </c>
      <c r="J50" cm="1">
        <f t="array" ref="J50">BS_Vega(B50,$D$4,E50,F50,C50)</f>
        <v>1216.5293131075975</v>
      </c>
      <c r="K50" cm="1">
        <f t="array" ref="K50">VolatiliteRealisee(B48:B50)*252^0.5</f>
        <v>2.2618505337028298</v>
      </c>
      <c r="L50">
        <f t="shared" si="1"/>
        <v>0.8849315068493151</v>
      </c>
      <c r="M50" cm="1">
        <f t="array" ref="M50">BS_Price("P",B50,$D$4,E50,C50,F50)</f>
        <v>34.748342375268976</v>
      </c>
      <c r="N50">
        <f t="shared" si="2"/>
        <v>1.455158835042115E-4</v>
      </c>
      <c r="O50">
        <f t="shared" si="3"/>
        <v>-0.11078612315818999</v>
      </c>
      <c r="P50">
        <f t="shared" si="4"/>
        <v>0.49000000000023647</v>
      </c>
      <c r="Q50">
        <f t="shared" si="5"/>
        <v>-410.02999999999975</v>
      </c>
      <c r="R50" s="20">
        <f t="shared" si="6"/>
        <v>4.3999999999999773</v>
      </c>
      <c r="S50" s="20">
        <f t="shared" si="7"/>
        <v>4.8900000000002137</v>
      </c>
      <c r="T50" s="30">
        <f t="shared" si="8"/>
        <v>-318.12999999999977</v>
      </c>
      <c r="U50">
        <f t="shared" si="9"/>
        <v>0.29843213608135105</v>
      </c>
      <c r="V50">
        <f t="shared" si="10"/>
        <v>-303.01202876058665</v>
      </c>
      <c r="W50">
        <f t="shared" si="11"/>
        <v>-0.26861381844745369</v>
      </c>
      <c r="X50">
        <f t="shared" si="12"/>
        <v>2.3844210798548087</v>
      </c>
      <c r="Y50">
        <f t="shared" si="13"/>
        <v>4.8249308737757781</v>
      </c>
      <c r="Z50">
        <f t="shared" si="14"/>
        <v>-14.16676824697106</v>
      </c>
      <c r="AA50">
        <f t="shared" si="15"/>
        <v>4.8547491914096748</v>
      </c>
      <c r="AB50" s="19">
        <f t="shared" si="16"/>
        <v>-314.7943759277029</v>
      </c>
    </row>
  </sheetData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282BAD-B557-43A7-82B2-F4CD967F2BA9}">
  <sheetPr codeName="Feuil6"/>
  <dimension ref="A1:AI50"/>
  <sheetViews>
    <sheetView topLeftCell="V55" workbookViewId="0">
      <selection activeCell="AH69" sqref="AH69"/>
    </sheetView>
  </sheetViews>
  <sheetFormatPr baseColWidth="10" defaultRowHeight="14.4" x14ac:dyDescent="0.3"/>
  <cols>
    <col min="8" max="8" width="14.88671875" customWidth="1"/>
    <col min="9" max="9" width="14.109375" customWidth="1"/>
    <col min="11" max="11" width="12.6640625" bestFit="1" customWidth="1"/>
    <col min="13" max="15" width="12" bestFit="1" customWidth="1"/>
    <col min="26" max="26" width="15.109375" customWidth="1"/>
    <col min="27" max="27" width="16.109375" customWidth="1"/>
    <col min="29" max="29" width="15.88671875" customWidth="1"/>
    <col min="31" max="31" width="17" customWidth="1"/>
    <col min="33" max="33" width="18.44140625" customWidth="1"/>
    <col min="34" max="34" width="15.88671875" customWidth="1"/>
    <col min="35" max="35" width="17" customWidth="1"/>
  </cols>
  <sheetData>
    <row r="1" spans="1:35" x14ac:dyDescent="0.3">
      <c r="A1" s="1"/>
      <c r="B1" s="1"/>
      <c r="C1" s="1"/>
      <c r="D1" s="2" t="s">
        <v>0</v>
      </c>
      <c r="E1" s="2" t="s">
        <v>0</v>
      </c>
      <c r="F1" s="2" t="s">
        <v>0</v>
      </c>
      <c r="G1" s="2" t="s">
        <v>0</v>
      </c>
    </row>
    <row r="2" spans="1:35" x14ac:dyDescent="0.3">
      <c r="D2" s="3">
        <v>39983</v>
      </c>
      <c r="E2" s="3">
        <v>39983</v>
      </c>
      <c r="F2" s="3">
        <f>D2</f>
        <v>39983</v>
      </c>
      <c r="G2" s="3">
        <f>E2</f>
        <v>39983</v>
      </c>
    </row>
    <row r="3" spans="1:35" x14ac:dyDescent="0.3">
      <c r="A3" s="1"/>
      <c r="B3" s="1"/>
      <c r="C3" s="1"/>
      <c r="D3" s="4" t="s">
        <v>1</v>
      </c>
      <c r="E3" s="4" t="s">
        <v>1</v>
      </c>
      <c r="F3" s="4" t="s">
        <v>1</v>
      </c>
      <c r="G3" s="4" t="s">
        <v>1</v>
      </c>
    </row>
    <row r="4" spans="1:35" x14ac:dyDescent="0.3">
      <c r="A4" s="3"/>
      <c r="D4" s="5">
        <v>3400</v>
      </c>
      <c r="E4" s="5">
        <v>3000</v>
      </c>
      <c r="F4" s="5">
        <v>3400</v>
      </c>
      <c r="G4" s="5">
        <v>3000</v>
      </c>
    </row>
    <row r="5" spans="1:35" ht="43.2" x14ac:dyDescent="0.3">
      <c r="A5" s="2" t="s">
        <v>2</v>
      </c>
      <c r="B5" s="6" t="s">
        <v>3</v>
      </c>
      <c r="C5" s="6" t="s">
        <v>4</v>
      </c>
      <c r="D5" s="6" t="s">
        <v>5</v>
      </c>
      <c r="E5" s="6" t="s">
        <v>5</v>
      </c>
      <c r="F5" s="6" t="s">
        <v>6</v>
      </c>
      <c r="G5" s="6" t="s">
        <v>6</v>
      </c>
      <c r="H5" t="s">
        <v>19</v>
      </c>
      <c r="I5" t="s">
        <v>20</v>
      </c>
      <c r="J5" t="s">
        <v>21</v>
      </c>
      <c r="K5" t="s">
        <v>22</v>
      </c>
      <c r="L5" s="19" t="s">
        <v>23</v>
      </c>
      <c r="M5" t="s">
        <v>24</v>
      </c>
      <c r="N5" t="s">
        <v>25</v>
      </c>
      <c r="O5" s="19" t="s">
        <v>26</v>
      </c>
      <c r="P5" t="s">
        <v>27</v>
      </c>
      <c r="Q5" t="s">
        <v>28</v>
      </c>
      <c r="R5" s="19" t="s">
        <v>29</v>
      </c>
      <c r="S5" t="s">
        <v>30</v>
      </c>
      <c r="T5" t="s">
        <v>31</v>
      </c>
      <c r="U5" s="19" t="s">
        <v>32</v>
      </c>
      <c r="V5" s="6" t="s">
        <v>50</v>
      </c>
      <c r="W5" s="22" t="s">
        <v>69</v>
      </c>
      <c r="X5" s="6" t="s">
        <v>51</v>
      </c>
      <c r="Y5" s="6" t="s">
        <v>52</v>
      </c>
      <c r="Z5" s="22" t="s">
        <v>53</v>
      </c>
      <c r="AA5" s="22" t="s">
        <v>57</v>
      </c>
      <c r="AB5" s="6" t="s">
        <v>54</v>
      </c>
      <c r="AC5" s="6" t="s">
        <v>66</v>
      </c>
      <c r="AD5" s="6" t="s">
        <v>64</v>
      </c>
      <c r="AE5" s="6" t="s">
        <v>65</v>
      </c>
      <c r="AF5" s="6" t="s">
        <v>55</v>
      </c>
      <c r="AG5" s="6" t="s">
        <v>67</v>
      </c>
      <c r="AH5" s="22" t="s">
        <v>68</v>
      </c>
      <c r="AI5" s="22" t="s">
        <v>56</v>
      </c>
    </row>
    <row r="6" spans="1:35" x14ac:dyDescent="0.3">
      <c r="A6" s="3">
        <v>39598</v>
      </c>
      <c r="B6">
        <v>3777.85</v>
      </c>
      <c r="C6" s="7">
        <v>5.0970000000000001E-2</v>
      </c>
      <c r="D6" s="5">
        <v>184.5</v>
      </c>
      <c r="E6" s="5">
        <v>99</v>
      </c>
      <c r="F6" s="8">
        <v>0.28252737577587594</v>
      </c>
      <c r="G6" s="8">
        <v>0.30282435544712227</v>
      </c>
      <c r="H6">
        <f>($F$2-A6)/365</f>
        <v>1.0547945205479452</v>
      </c>
      <c r="I6">
        <f>($G$2-A6)/365</f>
        <v>1.0547945205479452</v>
      </c>
      <c r="J6" cm="1">
        <f t="array" ref="J6">BS_Delta("P",B6,$F$4,F6,H6,C6)</f>
        <v>-0.24398591780155721</v>
      </c>
      <c r="K6" cm="1">
        <f t="array" ref="K6">-BS_Delta("P",B6,$G$4,G6,I6,C6)</f>
        <v>0.14239046019547219</v>
      </c>
      <c r="L6">
        <f>1+J6+K6</f>
        <v>0.89840454239391498</v>
      </c>
      <c r="M6" cm="1">
        <f t="array" ref="M6">BS_Gamma(B6,$F$4,F6,H6,C6)</f>
        <v>2.8613704435912705E-4</v>
      </c>
      <c r="N6" cm="1">
        <f t="array" ref="N6">BS_Gamma(B6,$G$4,G6,I6,C6)</f>
        <v>1.9162207125679752E-4</v>
      </c>
      <c r="O6">
        <f>M6-N6</f>
        <v>9.4514973102329534E-5</v>
      </c>
      <c r="P6" cm="1">
        <f t="array" ref="P6">BS_Theta("P",B6,$F$4,F6,H6,C6)</f>
        <v>-106.60244183398994</v>
      </c>
      <c r="Q6" cm="1">
        <f t="array" ref="Q6">BS_Theta("P",B6,$G$4,G6,I6,C6)</f>
        <v>-92.932518143307036</v>
      </c>
      <c r="R6">
        <f>P6-Q6</f>
        <v>-13.669923690682907</v>
      </c>
      <c r="S6" cm="1">
        <f t="array" ref="S6">BS_Vega(B6,$F$4,F6,H6,C6)</f>
        <v>1217.0037260331103</v>
      </c>
      <c r="T6" cm="1">
        <f t="array" ref="T6">-BS_Vega(B6,$G$4,G6,I6,C6)</f>
        <v>-873.56176511929436</v>
      </c>
      <c r="U6">
        <f>S6+T6</f>
        <v>343.44196091381593</v>
      </c>
    </row>
    <row r="7" spans="1:35" x14ac:dyDescent="0.3">
      <c r="A7" s="3">
        <v>39601</v>
      </c>
      <c r="B7">
        <v>3720.5</v>
      </c>
      <c r="C7" s="7">
        <v>5.0970000000000001E-2</v>
      </c>
      <c r="D7" s="5">
        <v>202.3</v>
      </c>
      <c r="E7" s="5">
        <v>109.5</v>
      </c>
      <c r="F7" s="8">
        <v>0.28592579226362724</v>
      </c>
      <c r="G7" s="8">
        <v>0.30591813557594688</v>
      </c>
      <c r="H7">
        <f t="shared" ref="H7:H50" si="0">($F$2-A7)/365</f>
        <v>1.0465753424657533</v>
      </c>
      <c r="I7">
        <f t="shared" ref="I7:I50" si="1">($G$2-A7)/365</f>
        <v>1.0465753424657533</v>
      </c>
      <c r="J7" cm="1">
        <f t="array" ref="J7">BS_Delta("P",B7,$F$4,F7,H7,C7)</f>
        <v>-0.26219687744324316</v>
      </c>
      <c r="K7" cm="1">
        <f t="array" ref="K7">-BS_Delta("P",B7,$G$4,G7,I7,C7)</f>
        <v>0.15512414983981726</v>
      </c>
      <c r="L7">
        <f t="shared" ref="L7:L50" si="2">1+J7+K7</f>
        <v>0.8929272723965741</v>
      </c>
      <c r="M7" cm="1">
        <f t="array" ref="M7">BS_Gamma(B7,$F$4,F7,H7,C7)</f>
        <v>2.9934548616052743E-4</v>
      </c>
      <c r="N7" cm="1">
        <f t="array" ref="N7">BS_Gamma(B7,$G$4,G7,I7,C7)</f>
        <v>2.0475733968113049E-4</v>
      </c>
      <c r="O7">
        <f t="shared" ref="O7:O50" si="3">M7-N7</f>
        <v>9.458814647939694E-5</v>
      </c>
      <c r="P7" cm="1">
        <f t="array" ref="P7">BS_Theta("P",B7,$F$4,F7,H7,C7)</f>
        <v>-109.34340714766397</v>
      </c>
      <c r="Q7" cm="1">
        <f t="array" ref="Q7">BS_Theta("P",B7,$G$4,G7,I7,C7)</f>
        <v>-97.626119805374444</v>
      </c>
      <c r="R7">
        <f t="shared" ref="R7:R50" si="4">P7-Q7</f>
        <v>-11.717287342289524</v>
      </c>
      <c r="S7" cm="1">
        <f t="array" ref="S7">BS_Vega(B7,$F$4,F7,H7,C7)</f>
        <v>1239.9356966948453</v>
      </c>
      <c r="T7" cm="1">
        <f t="array" ref="T7">-BS_Vega(B7,$G$4,G7,I7,C7)</f>
        <v>-907.43978946738207</v>
      </c>
      <c r="U7">
        <f t="shared" ref="U7:U50" si="5">S7+T7</f>
        <v>332.49590722746325</v>
      </c>
      <c r="V7">
        <f>B7-B6</f>
        <v>-57.349999999999909</v>
      </c>
      <c r="W7">
        <f>V7+W6</f>
        <v>-57.349999999999909</v>
      </c>
      <c r="X7" s="20">
        <f>D7-D6</f>
        <v>17.800000000000011</v>
      </c>
      <c r="Y7" s="20">
        <f>E7-E6</f>
        <v>10.5</v>
      </c>
      <c r="Z7" s="20">
        <f>V7+X7-Y7</f>
        <v>-50.049999999999898</v>
      </c>
      <c r="AA7" s="20">
        <f>Z7+AA6</f>
        <v>-50.049999999999898</v>
      </c>
      <c r="AB7">
        <f>L6*V7</f>
        <v>-51.523500506290944</v>
      </c>
      <c r="AC7">
        <f>AB7+AC6</f>
        <v>-51.523500506290944</v>
      </c>
      <c r="AD7">
        <f>O6*0.5*(V7)^2 + R6*(A7-A6)/365</f>
        <v>4.3075399376532694E-2</v>
      </c>
      <c r="AE7">
        <f>AD7+AE6</f>
        <v>4.3075399376532694E-2</v>
      </c>
      <c r="AF7">
        <f t="shared" ref="AF7:AF50" si="6">S6*(F7-F6)+T6*(G7-G6)</f>
        <v>1.4332774979786649</v>
      </c>
      <c r="AG7">
        <f>AF7+AG6</f>
        <v>1.4332774979786649</v>
      </c>
      <c r="AH7">
        <f>AB7+AD7+AF7</f>
        <v>-50.047147608935745</v>
      </c>
      <c r="AI7">
        <f>AH7+AI6</f>
        <v>-50.047147608935745</v>
      </c>
    </row>
    <row r="8" spans="1:35" x14ac:dyDescent="0.3">
      <c r="A8" s="3">
        <v>39602</v>
      </c>
      <c r="B8">
        <v>3737.34</v>
      </c>
      <c r="C8" s="7">
        <v>5.0930000000000003E-2</v>
      </c>
      <c r="D8" s="5">
        <v>195.2</v>
      </c>
      <c r="E8" s="5">
        <v>105.3</v>
      </c>
      <c r="F8" s="8">
        <v>0.28391453963524355</v>
      </c>
      <c r="G8" s="8">
        <v>0.30437747397062342</v>
      </c>
      <c r="H8">
        <f t="shared" si="0"/>
        <v>1.0438356164383562</v>
      </c>
      <c r="I8">
        <f t="shared" si="1"/>
        <v>1.0438356164383562</v>
      </c>
      <c r="J8" cm="1">
        <f t="array" ref="J8">BS_Delta("P",B8,$F$4,F8,H8,C8)</f>
        <v>-0.25641649076693651</v>
      </c>
      <c r="K8" cm="1">
        <f t="array" ref="K8">-BS_Delta("P",B8,$G$4,G8,I8,C8)</f>
        <v>0.15077310171508373</v>
      </c>
      <c r="L8">
        <f t="shared" si="2"/>
        <v>0.89435661094814722</v>
      </c>
      <c r="M8" cm="1">
        <f t="array" ref="M8">BS_Gamma(B8,$F$4,F8,H8,C8)</f>
        <v>2.970594946220257E-4</v>
      </c>
      <c r="N8" cm="1">
        <f t="array" ref="N8">BS_Gamma(B8,$G$4,G8,I8,C8)</f>
        <v>2.0130202518427097E-4</v>
      </c>
      <c r="O8">
        <f t="shared" si="3"/>
        <v>9.5757469437754726E-5</v>
      </c>
      <c r="P8" cm="1">
        <f t="array" ref="P8">BS_Theta("P",B8,$F$4,F8,H8,C8)</f>
        <v>-108.48134934666065</v>
      </c>
      <c r="Q8" cm="1">
        <f t="array" ref="Q8">BS_Theta("P",B8,$G$4,G8,I8,C8)</f>
        <v>-96.185704117627381</v>
      </c>
      <c r="R8">
        <f t="shared" si="4"/>
        <v>-12.295645229033269</v>
      </c>
      <c r="S8" cm="1">
        <f t="array" ref="S8">BS_Vega(B8,$F$4,F8,H8,C8)</f>
        <v>1229.6694997468835</v>
      </c>
      <c r="T8" cm="1">
        <f t="array" ref="T8">-BS_Vega(B8,$G$4,G8,I8,C8)</f>
        <v>-893.34247178601174</v>
      </c>
      <c r="U8">
        <f t="shared" si="5"/>
        <v>336.32702796087176</v>
      </c>
      <c r="V8">
        <f t="shared" ref="V8:V50" si="7">B8-B7</f>
        <v>16.840000000000146</v>
      </c>
      <c r="W8">
        <f t="shared" ref="W8:W50" si="8">V8+W7</f>
        <v>-40.509999999999764</v>
      </c>
      <c r="X8" s="20">
        <f t="shared" ref="X8:X50" si="9">D8-D7</f>
        <v>-7.1000000000000227</v>
      </c>
      <c r="Y8" s="20">
        <f t="shared" ref="Y8:Y50" si="10">E8-E7</f>
        <v>-4.2000000000000028</v>
      </c>
      <c r="Z8" s="20">
        <f t="shared" ref="Z8:Z50" si="11">V8+X8-Y8</f>
        <v>13.940000000000126</v>
      </c>
      <c r="AA8" s="20">
        <f t="shared" ref="AA8:AA50" si="12">Z8+AA7</f>
        <v>-36.109999999999772</v>
      </c>
      <c r="AB8">
        <f t="shared" ref="AB8:AB50" si="13">L7*V8</f>
        <v>15.036895267158437</v>
      </c>
      <c r="AC8">
        <f t="shared" ref="AC8:AC50" si="14">AB8+AC7</f>
        <v>-36.486605239132508</v>
      </c>
      <c r="AD8">
        <f t="shared" ref="AD8:AD50" si="15">O7*0.5*(V8)^2+R7*(A8-A7)/365</f>
        <v>-1.8690238966039011E-2</v>
      </c>
      <c r="AE8">
        <f t="shared" ref="AE8:AE50" si="16">AD8+AE7</f>
        <v>2.4385160410493684E-2</v>
      </c>
      <c r="AF8">
        <f t="shared" si="6"/>
        <v>-1.0957662862290822</v>
      </c>
      <c r="AG8">
        <f t="shared" ref="AG8:AG50" si="17">AF8+AG7</f>
        <v>0.33751121174958265</v>
      </c>
      <c r="AH8">
        <f t="shared" ref="AH8:AH50" si="18">AB8+AD8+AF8</f>
        <v>13.922438741963315</v>
      </c>
      <c r="AI8">
        <f t="shared" ref="AI8:AI50" si="19">AH8+AI7</f>
        <v>-36.124708866972426</v>
      </c>
    </row>
    <row r="9" spans="1:35" x14ac:dyDescent="0.3">
      <c r="A9" s="3">
        <v>39603</v>
      </c>
      <c r="B9">
        <v>3699.05</v>
      </c>
      <c r="C9" s="7">
        <v>5.1070000000000004E-2</v>
      </c>
      <c r="D9" s="5">
        <v>205.3</v>
      </c>
      <c r="E9" s="5">
        <v>111.2</v>
      </c>
      <c r="F9" s="8">
        <v>0.28434341776950983</v>
      </c>
      <c r="G9" s="8">
        <v>0.30475742554006124</v>
      </c>
      <c r="H9">
        <f t="shared" si="0"/>
        <v>1.0410958904109588</v>
      </c>
      <c r="I9">
        <f t="shared" si="1"/>
        <v>1.0410958904109588</v>
      </c>
      <c r="J9" cm="1">
        <f t="array" ref="J9">BS_Delta("P",B9,$F$4,F9,H9,C9)</f>
        <v>-0.26799507524781718</v>
      </c>
      <c r="K9" cm="1">
        <f t="array" ref="K9">-BS_Delta("P",B9,$G$4,G9,I9,C9)</f>
        <v>0.15863738084164414</v>
      </c>
      <c r="L9">
        <f t="shared" si="2"/>
        <v>0.89064230559382696</v>
      </c>
      <c r="M9" cm="1">
        <f t="array" ref="M9">BS_Gamma(B9,$F$4,F9,H9,C9)</f>
        <v>3.0694394692965134E-4</v>
      </c>
      <c r="N9" cm="1">
        <f t="array" ref="N9">BS_Gamma(B9,$G$4,G9,I9,C9)</f>
        <v>2.103492071973131E-4</v>
      </c>
      <c r="O9">
        <f t="shared" si="3"/>
        <v>9.6594739732338241E-5</v>
      </c>
      <c r="P9" cm="1">
        <f t="array" ref="P9">BS_Theta("P",B9,$F$4,F9,H9,C9)</f>
        <v>-108.67188953059008</v>
      </c>
      <c r="Q9" cm="1">
        <f t="array" ref="Q9">BS_Theta("P",B9,$G$4,G9,I9,C9)</f>
        <v>-98.012266291117754</v>
      </c>
      <c r="R9">
        <f t="shared" si="4"/>
        <v>-10.659623239472324</v>
      </c>
      <c r="S9" cm="1">
        <f t="array" ref="S9">BS_Vega(B9,$F$4,F9,H9,C9)</f>
        <v>1243.2927128151175</v>
      </c>
      <c r="T9" cm="1">
        <f t="array" ref="T9">-BS_Vega(B9,$G$4,G9,I9,C9)</f>
        <v>-913.20085884810806</v>
      </c>
      <c r="U9">
        <f t="shared" si="5"/>
        <v>330.09185396700946</v>
      </c>
      <c r="V9">
        <f t="shared" si="7"/>
        <v>-38.289999999999964</v>
      </c>
      <c r="W9">
        <f t="shared" si="8"/>
        <v>-78.799999999999727</v>
      </c>
      <c r="X9" s="20">
        <f t="shared" si="9"/>
        <v>10.100000000000023</v>
      </c>
      <c r="Y9" s="20">
        <f t="shared" si="10"/>
        <v>5.9000000000000057</v>
      </c>
      <c r="Z9" s="20">
        <f t="shared" si="11"/>
        <v>-34.089999999999947</v>
      </c>
      <c r="AA9" s="20">
        <f t="shared" si="12"/>
        <v>-70.199999999999719</v>
      </c>
      <c r="AB9">
        <f t="shared" si="13"/>
        <v>-34.244914633204523</v>
      </c>
      <c r="AC9">
        <f t="shared" si="14"/>
        <v>-70.731519872337032</v>
      </c>
      <c r="AD9">
        <f t="shared" si="15"/>
        <v>3.6509467591227307E-2</v>
      </c>
      <c r="AE9">
        <f t="shared" si="16"/>
        <v>6.0894628001720991E-2</v>
      </c>
      <c r="AF9">
        <f t="shared" si="6"/>
        <v>0.18795148661504452</v>
      </c>
      <c r="AG9">
        <f t="shared" si="17"/>
        <v>0.52546269836462711</v>
      </c>
      <c r="AH9">
        <f t="shared" si="18"/>
        <v>-34.020453678998251</v>
      </c>
      <c r="AI9">
        <f t="shared" si="19"/>
        <v>-70.145162545970678</v>
      </c>
    </row>
    <row r="10" spans="1:35" x14ac:dyDescent="0.3">
      <c r="A10" s="3">
        <v>39604</v>
      </c>
      <c r="B10">
        <v>3682.83</v>
      </c>
      <c r="C10" s="7">
        <v>5.1249999999999997E-2</v>
      </c>
      <c r="D10" s="5">
        <v>205.3</v>
      </c>
      <c r="E10" s="5">
        <v>110.4</v>
      </c>
      <c r="F10" s="8">
        <v>0.28124324441274101</v>
      </c>
      <c r="G10" s="8">
        <v>0.30148673720172436</v>
      </c>
      <c r="H10">
        <f t="shared" si="0"/>
        <v>1.0383561643835617</v>
      </c>
      <c r="I10">
        <f t="shared" si="1"/>
        <v>1.0383561643835617</v>
      </c>
      <c r="J10" cm="1">
        <f t="array" ref="J10">BS_Delta("P",B10,$F$4,F10,H10,C10)</f>
        <v>-0.27165944754936833</v>
      </c>
      <c r="K10" cm="1">
        <f t="array" ref="K10">-BS_Delta("P",B10,$G$4,G10,I10,C10)</f>
        <v>0.16002883467377083</v>
      </c>
      <c r="L10">
        <f t="shared" si="2"/>
        <v>0.8883693871244025</v>
      </c>
      <c r="M10" cm="1">
        <f t="array" ref="M10">BS_Gamma(B10,$F$4,F10,H10,C10)</f>
        <v>3.1423453579148284E-4</v>
      </c>
      <c r="N10" cm="1">
        <f t="array" ref="N10">BS_Gamma(B10,$G$4,G10,I10,C10)</f>
        <v>2.1507562113502897E-4</v>
      </c>
      <c r="O10">
        <f t="shared" si="3"/>
        <v>9.9158914656453863E-5</v>
      </c>
      <c r="P10" cm="1">
        <f t="array" ref="P10">BS_Theta("P",B10,$F$4,F10,H10,C10)</f>
        <v>-106.76281434882353</v>
      </c>
      <c r="Q10" cm="1">
        <f t="array" ref="Q10">BS_Theta("P",B10,$G$4,G10,I10,C10)</f>
        <v>-96.7121446934228</v>
      </c>
      <c r="R10">
        <f t="shared" si="4"/>
        <v>-10.050669655400725</v>
      </c>
      <c r="S10" cm="1">
        <f t="array" ref="S10">BS_Vega(B10,$F$4,F10,H10,C10)</f>
        <v>1244.6455866287756</v>
      </c>
      <c r="T10" cm="1">
        <f t="array" ref="T10">-BS_Vega(B10,$G$4,G10,I10,C10)</f>
        <v>-913.20669645222665</v>
      </c>
      <c r="U10">
        <f t="shared" si="5"/>
        <v>331.43889017654897</v>
      </c>
      <c r="V10">
        <f t="shared" si="7"/>
        <v>-16.220000000000255</v>
      </c>
      <c r="W10">
        <f t="shared" si="8"/>
        <v>-95.019999999999982</v>
      </c>
      <c r="X10" s="20">
        <f t="shared" si="9"/>
        <v>0</v>
      </c>
      <c r="Y10" s="20">
        <f t="shared" si="10"/>
        <v>-0.79999999999999716</v>
      </c>
      <c r="Z10" s="20">
        <f t="shared" si="11"/>
        <v>-15.420000000000258</v>
      </c>
      <c r="AA10" s="20">
        <f t="shared" si="12"/>
        <v>-85.619999999999976</v>
      </c>
      <c r="AB10">
        <f t="shared" si="13"/>
        <v>-14.446218196732101</v>
      </c>
      <c r="AC10">
        <f t="shared" si="14"/>
        <v>-85.177738069069136</v>
      </c>
      <c r="AD10">
        <f t="shared" si="15"/>
        <v>-1.6497969469131978E-2</v>
      </c>
      <c r="AE10">
        <f t="shared" si="16"/>
        <v>4.4396658532589013E-2</v>
      </c>
      <c r="AF10">
        <f t="shared" si="6"/>
        <v>-0.86762754334052561</v>
      </c>
      <c r="AG10">
        <f t="shared" si="17"/>
        <v>-0.3421648449758985</v>
      </c>
      <c r="AH10">
        <f t="shared" si="18"/>
        <v>-15.330343709541758</v>
      </c>
      <c r="AI10">
        <f t="shared" si="19"/>
        <v>-85.475506255512443</v>
      </c>
    </row>
    <row r="11" spans="1:35" x14ac:dyDescent="0.3">
      <c r="A11" s="3">
        <v>39605</v>
      </c>
      <c r="B11">
        <v>3596.7</v>
      </c>
      <c r="C11" s="7">
        <v>5.4179999999999999E-2</v>
      </c>
      <c r="D11" s="5">
        <v>232.9</v>
      </c>
      <c r="E11" s="5">
        <v>127.5</v>
      </c>
      <c r="F11" s="8">
        <v>0.28695843605412363</v>
      </c>
      <c r="G11" s="8">
        <v>0.30681412047212864</v>
      </c>
      <c r="H11">
        <f t="shared" si="0"/>
        <v>1.0356164383561643</v>
      </c>
      <c r="I11">
        <f t="shared" si="1"/>
        <v>1.0356164383561643</v>
      </c>
      <c r="J11" cm="1">
        <f t="array" ref="J11">BS_Delta("P",B11,$F$4,F11,H11,C11)</f>
        <v>-0.2977980232826305</v>
      </c>
      <c r="K11" cm="1">
        <f t="array" ref="K11">-BS_Delta("P",B11,$G$4,G11,I11,C11)</f>
        <v>0.1796191842500402</v>
      </c>
      <c r="L11">
        <f t="shared" si="2"/>
        <v>0.8818211609674097</v>
      </c>
      <c r="M11" cm="1">
        <f t="array" ref="M11">BS_Gamma(B11,$F$4,F11,H11,C11)</f>
        <v>3.2992810095800688E-4</v>
      </c>
      <c r="N11" cm="1">
        <f t="array" ref="N11">BS_Gamma(B11,$G$4,G11,I11,C11)</f>
        <v>2.3334959602625105E-4</v>
      </c>
      <c r="O11">
        <f t="shared" si="3"/>
        <v>9.6578504931755827E-5</v>
      </c>
      <c r="P11" cm="1">
        <f t="array" ref="P11">BS_Theta("P",B11,$F$4,F11,H11,C11)</f>
        <v>-105.07569691596804</v>
      </c>
      <c r="Q11" cm="1">
        <f t="array" ref="Q11">BS_Theta("P",B11,$G$4,G11,I11,C11)</f>
        <v>-100.17085743122213</v>
      </c>
      <c r="R11">
        <f t="shared" si="4"/>
        <v>-4.9048394847459065</v>
      </c>
      <c r="S11" cm="1">
        <f t="array" ref="S11">BS_Vega(B11,$F$4,F11,H11,C11)</f>
        <v>1268.3691467837691</v>
      </c>
      <c r="T11" cm="1">
        <f t="array" ref="T11">-BS_Vega(B11,$G$4,G11,I11,C11)</f>
        <v>-959.15713506148677</v>
      </c>
      <c r="U11">
        <f t="shared" si="5"/>
        <v>309.21201172228234</v>
      </c>
      <c r="V11">
        <f t="shared" si="7"/>
        <v>-86.130000000000109</v>
      </c>
      <c r="W11">
        <f t="shared" si="8"/>
        <v>-181.15000000000009</v>
      </c>
      <c r="X11" s="20">
        <f t="shared" si="9"/>
        <v>27.599999999999994</v>
      </c>
      <c r="Y11" s="20">
        <f t="shared" si="10"/>
        <v>17.099999999999994</v>
      </c>
      <c r="Z11" s="20">
        <f t="shared" si="11"/>
        <v>-75.630000000000109</v>
      </c>
      <c r="AA11" s="20">
        <f t="shared" si="12"/>
        <v>-161.25000000000009</v>
      </c>
      <c r="AB11">
        <f t="shared" si="13"/>
        <v>-76.51525531302488</v>
      </c>
      <c r="AC11">
        <f t="shared" si="14"/>
        <v>-161.69299338209402</v>
      </c>
      <c r="AD11">
        <f t="shared" si="15"/>
        <v>0.34026301971058209</v>
      </c>
      <c r="AE11">
        <f t="shared" si="16"/>
        <v>0.3846596782431711</v>
      </c>
      <c r="AF11">
        <f t="shared" si="6"/>
        <v>2.248385976083803</v>
      </c>
      <c r="AG11">
        <f t="shared" si="17"/>
        <v>1.9062211311079045</v>
      </c>
      <c r="AH11">
        <f t="shared" si="18"/>
        <v>-73.926606317230494</v>
      </c>
      <c r="AI11">
        <f t="shared" si="19"/>
        <v>-159.40211257274294</v>
      </c>
    </row>
    <row r="12" spans="1:35" x14ac:dyDescent="0.3">
      <c r="A12" s="3">
        <v>39608</v>
      </c>
      <c r="B12">
        <v>3597.34</v>
      </c>
      <c r="C12" s="7">
        <v>5.4290000000000005E-2</v>
      </c>
      <c r="D12" s="5">
        <v>235.4</v>
      </c>
      <c r="E12" s="5">
        <v>129.9</v>
      </c>
      <c r="F12" s="8">
        <v>0.28988914401014149</v>
      </c>
      <c r="G12" s="8">
        <v>0.31039585368156258</v>
      </c>
      <c r="H12">
        <f t="shared" si="0"/>
        <v>1.0273972602739727</v>
      </c>
      <c r="I12">
        <f t="shared" si="1"/>
        <v>1.0273972602739727</v>
      </c>
      <c r="J12" cm="1">
        <f t="array" ref="J12">BS_Delta("P",B12,$F$4,F12,H12,C12)</f>
        <v>-0.29848794010821944</v>
      </c>
      <c r="K12" cm="1">
        <f t="array" ref="K12">-BS_Delta("P",B12,$G$4,G12,I12,C12)</f>
        <v>0.18095150351646594</v>
      </c>
      <c r="L12">
        <f t="shared" si="2"/>
        <v>0.8824635634082465</v>
      </c>
      <c r="M12" cm="1">
        <f t="array" ref="M12">BS_Gamma(B12,$F$4,F12,H12,C12)</f>
        <v>3.2818380891502487E-4</v>
      </c>
      <c r="N12" cm="1">
        <f t="array" ref="N12">BS_Gamma(B12,$G$4,G12,I12,C12)</f>
        <v>2.3261277652570549E-4</v>
      </c>
      <c r="O12">
        <f t="shared" si="3"/>
        <v>9.5571032389319386E-5</v>
      </c>
      <c r="P12" cm="1">
        <f t="array" ref="P12">BS_Theta("P",B12,$F$4,F12,H12,C12)</f>
        <v>-107.37452684651394</v>
      </c>
      <c r="Q12" cm="1">
        <f t="array" ref="Q12">BS_Theta("P",B12,$G$4,G12,I12,C12)</f>
        <v>-102.61811271939712</v>
      </c>
      <c r="R12">
        <f t="shared" si="4"/>
        <v>-4.7564141271168268</v>
      </c>
      <c r="S12" cm="1">
        <f t="array" ref="S12">BS_Vega(B12,$F$4,F12,H12,C12)</f>
        <v>1264.8833616081902</v>
      </c>
      <c r="T12" cm="1">
        <f t="array" ref="T12">-BS_Vega(B12,$G$4,G12,I12,C12)</f>
        <v>-959.95495195188039</v>
      </c>
      <c r="U12">
        <f t="shared" si="5"/>
        <v>304.92840965630978</v>
      </c>
      <c r="V12">
        <f t="shared" si="7"/>
        <v>0.64000000000032742</v>
      </c>
      <c r="W12">
        <f t="shared" si="8"/>
        <v>-180.50999999999976</v>
      </c>
      <c r="X12" s="20">
        <f t="shared" si="9"/>
        <v>2.5</v>
      </c>
      <c r="Y12" s="20">
        <f t="shared" si="10"/>
        <v>2.4000000000000057</v>
      </c>
      <c r="Z12" s="20">
        <f t="shared" si="11"/>
        <v>0.74000000000032173</v>
      </c>
      <c r="AA12" s="20">
        <f t="shared" si="12"/>
        <v>-160.50999999999976</v>
      </c>
      <c r="AB12">
        <f t="shared" si="13"/>
        <v>0.56436554301943098</v>
      </c>
      <c r="AC12">
        <f t="shared" si="14"/>
        <v>-161.1286278390746</v>
      </c>
      <c r="AD12">
        <f t="shared" si="15"/>
        <v>-4.0293969911882339E-2</v>
      </c>
      <c r="AE12">
        <f t="shared" si="16"/>
        <v>0.34436570833128877</v>
      </c>
      <c r="AF12">
        <f t="shared" si="6"/>
        <v>0.28177458593151972</v>
      </c>
      <c r="AG12">
        <f t="shared" si="17"/>
        <v>2.1879957170394242</v>
      </c>
      <c r="AH12">
        <f t="shared" si="18"/>
        <v>0.80584615903906831</v>
      </c>
      <c r="AI12">
        <f t="shared" si="19"/>
        <v>-158.59626641370386</v>
      </c>
    </row>
    <row r="13" spans="1:35" x14ac:dyDescent="0.3">
      <c r="A13" s="3">
        <v>39609</v>
      </c>
      <c r="B13">
        <v>3574.7</v>
      </c>
      <c r="C13" s="7">
        <v>5.4320000000000007E-2</v>
      </c>
      <c r="D13" s="5">
        <v>241.5</v>
      </c>
      <c r="E13" s="5">
        <v>133.19999999999999</v>
      </c>
      <c r="F13" s="8">
        <v>0.28956738505857743</v>
      </c>
      <c r="G13" s="8">
        <v>0.30982942024905136</v>
      </c>
      <c r="H13">
        <f t="shared" si="0"/>
        <v>1.0246575342465754</v>
      </c>
      <c r="I13">
        <f t="shared" si="1"/>
        <v>1.0246575342465754</v>
      </c>
      <c r="J13" cm="1">
        <f t="array" ref="J13">BS_Delta("P",B13,$F$4,F13,H13,C13)</f>
        <v>-0.30594100278204173</v>
      </c>
      <c r="K13" cm="1">
        <f t="array" ref="K13">-BS_Delta("P",B13,$G$4,G13,I13,C13)</f>
        <v>0.18589358770560427</v>
      </c>
      <c r="L13">
        <f t="shared" si="2"/>
        <v>0.87995258492356254</v>
      </c>
      <c r="M13" cm="1">
        <f t="array" ref="M13">BS_Gamma(B13,$F$4,F13,H13,C13)</f>
        <v>3.3475596001117169E-4</v>
      </c>
      <c r="N13" cm="1">
        <f t="array" ref="N13">BS_Gamma(B13,$G$4,G13,I13,C13)</f>
        <v>2.3880526266224008E-4</v>
      </c>
      <c r="O13">
        <f t="shared" si="3"/>
        <v>9.5950697348931612E-5</v>
      </c>
      <c r="P13" cm="1">
        <f t="array" ref="P13">BS_Theta("P",B13,$F$4,F13,H13,C13)</f>
        <v>-106.81465232995428</v>
      </c>
      <c r="Q13" cm="1">
        <f t="array" ref="Q13">BS_Theta("P",B13,$G$4,G13,I13,C13)</f>
        <v>-103.13472080385787</v>
      </c>
      <c r="R13">
        <f t="shared" si="4"/>
        <v>-3.6799315260964107</v>
      </c>
      <c r="S13" cm="1">
        <f t="array" ref="S13">BS_Vega(B13,$F$4,F13,H13,C13)</f>
        <v>1269.217058817185</v>
      </c>
      <c r="T13" cm="1">
        <f t="array" ref="T13">-BS_Vega(B13,$G$4,G13,I13,C13)</f>
        <v>-968.77848676428721</v>
      </c>
      <c r="U13">
        <f t="shared" si="5"/>
        <v>300.43857205289783</v>
      </c>
      <c r="V13">
        <f t="shared" si="7"/>
        <v>-22.640000000000327</v>
      </c>
      <c r="W13">
        <f t="shared" si="8"/>
        <v>-203.15000000000009</v>
      </c>
      <c r="X13" s="20">
        <f t="shared" si="9"/>
        <v>6.0999999999999943</v>
      </c>
      <c r="Y13" s="20">
        <f t="shared" si="10"/>
        <v>3.2999999999999829</v>
      </c>
      <c r="Z13" s="20">
        <f t="shared" si="11"/>
        <v>-19.840000000000316</v>
      </c>
      <c r="AA13" s="20">
        <f t="shared" si="12"/>
        <v>-180.35000000000008</v>
      </c>
      <c r="AB13">
        <f t="shared" si="13"/>
        <v>-19.978975075562989</v>
      </c>
      <c r="AC13">
        <f t="shared" si="14"/>
        <v>-181.1076029146376</v>
      </c>
      <c r="AD13">
        <f t="shared" si="15"/>
        <v>1.1462131340548959E-2</v>
      </c>
      <c r="AE13">
        <f t="shared" si="16"/>
        <v>0.35582783967183773</v>
      </c>
      <c r="AF13">
        <f t="shared" si="6"/>
        <v>0.13676303420838415</v>
      </c>
      <c r="AG13">
        <f t="shared" si="17"/>
        <v>2.3247587512478085</v>
      </c>
      <c r="AH13">
        <f t="shared" si="18"/>
        <v>-19.830749910014056</v>
      </c>
      <c r="AI13">
        <f t="shared" si="19"/>
        <v>-178.42701632371791</v>
      </c>
    </row>
    <row r="14" spans="1:35" x14ac:dyDescent="0.3">
      <c r="A14" s="3">
        <v>39610</v>
      </c>
      <c r="B14">
        <v>3509.39</v>
      </c>
      <c r="C14" s="7">
        <v>5.4169999999999996E-2</v>
      </c>
      <c r="D14" s="5">
        <v>263</v>
      </c>
      <c r="E14" s="5">
        <v>144.9</v>
      </c>
      <c r="F14" s="8">
        <v>0.29024030261888506</v>
      </c>
      <c r="G14" s="8">
        <v>0.30902300094194857</v>
      </c>
      <c r="H14">
        <f t="shared" si="0"/>
        <v>1.021917808219178</v>
      </c>
      <c r="I14">
        <f t="shared" si="1"/>
        <v>1.021917808219178</v>
      </c>
      <c r="J14" cm="1">
        <f t="array" ref="J14">BS_Delta("P",B14,$F$4,F14,H14,C14)</f>
        <v>-0.32877304324847567</v>
      </c>
      <c r="K14" cm="1">
        <f t="array" ref="K14">-BS_Delta("P",B14,$G$4,G14,I14,C14)</f>
        <v>0.20173747659958163</v>
      </c>
      <c r="L14">
        <f t="shared" si="2"/>
        <v>0.87296443335110596</v>
      </c>
      <c r="M14" cm="1">
        <f t="array" ref="M14">BS_Gamma(B14,$F$4,F14,H14,C14)</f>
        <v>3.5118774544631143E-4</v>
      </c>
      <c r="N14" cm="1">
        <f t="array" ref="N14">BS_Gamma(B14,$G$4,G14,I14,C14)</f>
        <v>2.5669814953524999E-4</v>
      </c>
      <c r="O14">
        <f t="shared" si="3"/>
        <v>9.4489595911061445E-5</v>
      </c>
      <c r="P14" cm="1">
        <f t="array" ref="P14">BS_Theta("P",B14,$F$4,F14,H14,C14)</f>
        <v>-105.42703202494509</v>
      </c>
      <c r="Q14" cm="1">
        <f t="array" ref="Q14">BS_Theta("P",B14,$G$4,G14,I14,C14)</f>
        <v>-104.75130083395825</v>
      </c>
      <c r="R14">
        <f t="shared" si="4"/>
        <v>-0.67573119098683776</v>
      </c>
      <c r="S14" cm="1">
        <f t="array" ref="S14">BS_Vega(B14,$F$4,F14,H14,C14)</f>
        <v>1282.8512655797292</v>
      </c>
      <c r="T14" cm="1">
        <f t="array" ref="T14">-BS_Vega(B14,$G$4,G14,I14,C14)</f>
        <v>-998.37288969767167</v>
      </c>
      <c r="U14">
        <f t="shared" si="5"/>
        <v>284.47837588205755</v>
      </c>
      <c r="V14">
        <f t="shared" si="7"/>
        <v>-65.309999999999945</v>
      </c>
      <c r="W14">
        <f t="shared" si="8"/>
        <v>-268.46000000000004</v>
      </c>
      <c r="X14" s="20">
        <f t="shared" si="9"/>
        <v>21.5</v>
      </c>
      <c r="Y14" s="20">
        <f t="shared" si="10"/>
        <v>11.700000000000017</v>
      </c>
      <c r="Z14" s="20">
        <f t="shared" si="11"/>
        <v>-55.509999999999962</v>
      </c>
      <c r="AA14" s="20">
        <f t="shared" si="12"/>
        <v>-235.86000000000004</v>
      </c>
      <c r="AB14">
        <f t="shared" si="13"/>
        <v>-57.469703321357819</v>
      </c>
      <c r="AC14">
        <f t="shared" si="14"/>
        <v>-238.57730623599542</v>
      </c>
      <c r="AD14">
        <f t="shared" si="15"/>
        <v>0.1945518609511202</v>
      </c>
      <c r="AE14">
        <f t="shared" si="16"/>
        <v>0.55037970062295793</v>
      </c>
      <c r="AF14">
        <f t="shared" si="6"/>
        <v>1.6353201227526304</v>
      </c>
      <c r="AG14">
        <f t="shared" si="17"/>
        <v>3.9600788740004389</v>
      </c>
      <c r="AH14">
        <f t="shared" si="18"/>
        <v>-55.639831337654066</v>
      </c>
      <c r="AI14">
        <f t="shared" si="19"/>
        <v>-234.06684766137198</v>
      </c>
    </row>
    <row r="15" spans="1:35" x14ac:dyDescent="0.3">
      <c r="A15" s="3">
        <v>39611</v>
      </c>
      <c r="B15">
        <v>3542.59</v>
      </c>
      <c r="C15" s="7">
        <v>5.425E-2</v>
      </c>
      <c r="D15" s="5">
        <v>246.7</v>
      </c>
      <c r="E15" s="5">
        <v>134.19999999999999</v>
      </c>
      <c r="F15" s="8">
        <v>0.28617916430392115</v>
      </c>
      <c r="G15" s="8">
        <v>0.30514589268266179</v>
      </c>
      <c r="H15">
        <f t="shared" si="0"/>
        <v>1.0191780821917809</v>
      </c>
      <c r="I15">
        <f t="shared" si="1"/>
        <v>1.0191780821917809</v>
      </c>
      <c r="J15" cm="1">
        <f t="array" ref="J15">BS_Delta("P",B15,$F$4,F15,H15,C15)</f>
        <v>-0.3163145933879874</v>
      </c>
      <c r="K15" cm="1">
        <f t="array" ref="K15">-BS_Delta("P",B15,$G$4,G15,I15,C15)</f>
        <v>0.19128605043873304</v>
      </c>
      <c r="L15">
        <f t="shared" si="2"/>
        <v>0.87497145705074564</v>
      </c>
      <c r="M15" cm="1">
        <f t="array" ref="M15">BS_Gamma(B15,$F$4,F15,H15,C15)</f>
        <v>3.4770050691941128E-4</v>
      </c>
      <c r="N15" cm="1">
        <f t="array" ref="N15">BS_Gamma(B15,$G$4,G15,I15,C15)</f>
        <v>2.4968882425412375E-4</v>
      </c>
      <c r="O15">
        <f t="shared" si="3"/>
        <v>9.8011682665287534E-5</v>
      </c>
      <c r="P15" cm="1">
        <f t="array" ref="P15">BS_Theta("P",B15,$F$4,F15,H15,C15)</f>
        <v>-104.51251745925181</v>
      </c>
      <c r="Q15" cm="1">
        <f t="array" ref="Q15">BS_Theta("P",B15,$G$4,G15,I15,C15)</f>
        <v>-101.84738656661602</v>
      </c>
      <c r="R15">
        <f t="shared" si="4"/>
        <v>-2.6651308926357871</v>
      </c>
      <c r="S15" cm="1">
        <f t="array" ref="S15">BS_Vega(B15,$F$4,F15,H15,C15)</f>
        <v>1272.726817390957</v>
      </c>
      <c r="T15" cm="1">
        <f t="array" ref="T15">-BS_Vega(B15,$G$4,G15,I15,C15)</f>
        <v>-974.5373604662052</v>
      </c>
      <c r="U15">
        <f t="shared" si="5"/>
        <v>298.18945692475177</v>
      </c>
      <c r="V15">
        <f t="shared" si="7"/>
        <v>33.200000000000273</v>
      </c>
      <c r="W15">
        <f t="shared" si="8"/>
        <v>-235.25999999999976</v>
      </c>
      <c r="X15" s="20">
        <f t="shared" si="9"/>
        <v>-16.300000000000011</v>
      </c>
      <c r="Y15" s="20">
        <f t="shared" si="10"/>
        <v>-10.700000000000017</v>
      </c>
      <c r="Z15" s="20">
        <f t="shared" si="11"/>
        <v>27.600000000000279</v>
      </c>
      <c r="AA15" s="20">
        <f t="shared" si="12"/>
        <v>-208.25999999999976</v>
      </c>
      <c r="AB15">
        <f t="shared" si="13"/>
        <v>28.982419187256955</v>
      </c>
      <c r="AC15">
        <f t="shared" si="14"/>
        <v>-209.59488704873846</v>
      </c>
      <c r="AD15">
        <f t="shared" si="15"/>
        <v>5.0223787767034254E-2</v>
      </c>
      <c r="AE15">
        <f t="shared" si="16"/>
        <v>0.60060348838999222</v>
      </c>
      <c r="AF15">
        <f t="shared" si="6"/>
        <v>-1.3390366505509297</v>
      </c>
      <c r="AG15">
        <f t="shared" si="17"/>
        <v>2.6210422234495092</v>
      </c>
      <c r="AH15">
        <f t="shared" si="18"/>
        <v>27.693606324473059</v>
      </c>
      <c r="AI15">
        <f t="shared" si="19"/>
        <v>-206.37324133689893</v>
      </c>
    </row>
    <row r="16" spans="1:35" x14ac:dyDescent="0.3">
      <c r="A16" s="3">
        <v>39612</v>
      </c>
      <c r="B16">
        <v>3562.67</v>
      </c>
      <c r="C16" s="7">
        <v>5.4390000000000001E-2</v>
      </c>
      <c r="D16" s="5">
        <v>234.2</v>
      </c>
      <c r="E16" s="5">
        <v>126</v>
      </c>
      <c r="F16" s="8">
        <v>0.28164210494529829</v>
      </c>
      <c r="G16" s="8">
        <v>0.30095523521433026</v>
      </c>
      <c r="H16">
        <f t="shared" si="0"/>
        <v>1.0164383561643835</v>
      </c>
      <c r="I16">
        <f t="shared" si="1"/>
        <v>1.0164383561643835</v>
      </c>
      <c r="J16" cm="1">
        <f t="array" ref="J16">BS_Delta("P",B16,$F$4,F16,H16,C16)</f>
        <v>-0.30809348880930398</v>
      </c>
      <c r="K16" cm="1">
        <f t="array" ref="K16">-BS_Delta("P",B16,$G$4,G16,I16,C16)</f>
        <v>0.18394031609251549</v>
      </c>
      <c r="L16">
        <f t="shared" si="2"/>
        <v>0.8758468272832115</v>
      </c>
      <c r="M16" cm="1">
        <f t="array" ref="M16">BS_Gamma(B16,$F$4,F16,H16,C16)</f>
        <v>3.4780453547095572E-4</v>
      </c>
      <c r="N16" cm="1">
        <f t="array" ref="N16">BS_Gamma(B16,$G$4,G16,I16,C16)</f>
        <v>2.4605189025458382E-4</v>
      </c>
      <c r="O16">
        <f t="shared" si="3"/>
        <v>1.0175264521637191E-4</v>
      </c>
      <c r="P16" cm="1">
        <f t="array" ref="P16">BS_Theta("P",B16,$F$4,F16,H16,C16)</f>
        <v>-102.64754389987012</v>
      </c>
      <c r="Q16" cm="1">
        <f t="array" ref="Q16">BS_Theta("P",B16,$G$4,G16,I16,C16)</f>
        <v>-98.937389844289825</v>
      </c>
      <c r="R16">
        <f t="shared" si="4"/>
        <v>-3.7101540555802899</v>
      </c>
      <c r="S16" cm="1">
        <f t="array" ref="S16">BS_Vega(B16,$F$4,F16,H16,C16)</f>
        <v>1263.7613270653258</v>
      </c>
      <c r="T16" cm="1">
        <f t="array" ref="T16">-BS_Vega(B16,$G$4,G16,I16,C16)</f>
        <v>-955.34634600320931</v>
      </c>
      <c r="U16">
        <f t="shared" si="5"/>
        <v>308.41498106211645</v>
      </c>
      <c r="V16">
        <f t="shared" si="7"/>
        <v>20.079999999999927</v>
      </c>
      <c r="W16">
        <f t="shared" si="8"/>
        <v>-215.17999999999984</v>
      </c>
      <c r="X16" s="20">
        <f t="shared" si="9"/>
        <v>-12.5</v>
      </c>
      <c r="Y16" s="20">
        <f t="shared" si="10"/>
        <v>-8.1999999999999886</v>
      </c>
      <c r="Z16" s="20">
        <f t="shared" si="11"/>
        <v>15.779999999999916</v>
      </c>
      <c r="AA16" s="20">
        <f t="shared" si="12"/>
        <v>-192.47999999999985</v>
      </c>
      <c r="AB16">
        <f t="shared" si="13"/>
        <v>17.569426857578907</v>
      </c>
      <c r="AC16">
        <f t="shared" si="14"/>
        <v>-192.02546019115954</v>
      </c>
      <c r="AD16">
        <f t="shared" si="15"/>
        <v>1.2457740389731594E-2</v>
      </c>
      <c r="AE16">
        <f t="shared" si="16"/>
        <v>0.6130612287797238</v>
      </c>
      <c r="AF16">
        <f t="shared" si="6"/>
        <v>-1.6904848500081373</v>
      </c>
      <c r="AG16">
        <f t="shared" si="17"/>
        <v>0.9305573734413719</v>
      </c>
      <c r="AH16">
        <f t="shared" si="18"/>
        <v>15.891399747960502</v>
      </c>
      <c r="AI16">
        <f t="shared" si="19"/>
        <v>-190.48184158893844</v>
      </c>
    </row>
    <row r="17" spans="1:35" x14ac:dyDescent="0.3">
      <c r="A17" s="3">
        <v>39615</v>
      </c>
      <c r="B17">
        <v>3532.83</v>
      </c>
      <c r="C17" s="7">
        <v>5.4359999999999999E-2</v>
      </c>
      <c r="D17" s="5">
        <v>238.4</v>
      </c>
      <c r="E17" s="5">
        <v>127.6</v>
      </c>
      <c r="F17" s="8">
        <v>0.27820461055570883</v>
      </c>
      <c r="G17" s="8">
        <v>0.2976332407287115</v>
      </c>
      <c r="H17">
        <f t="shared" si="0"/>
        <v>1.0082191780821919</v>
      </c>
      <c r="I17">
        <f t="shared" si="1"/>
        <v>1.0082191780821919</v>
      </c>
      <c r="J17" cm="1">
        <f t="array" ref="J17">BS_Delta("P",B17,$F$4,F17,H17,C17)</f>
        <v>-0.3180847150805316</v>
      </c>
      <c r="K17" cm="1">
        <f t="array" ref="K17">-BS_Delta("P",B17,$G$4,G17,I17,C17)</f>
        <v>0.18946667467667044</v>
      </c>
      <c r="L17">
        <f t="shared" si="2"/>
        <v>0.87138195959613884</v>
      </c>
      <c r="M17" cm="1">
        <f t="array" ref="M17">BS_Gamma(B17,$F$4,F17,H17,C17)</f>
        <v>3.6145213407042838E-4</v>
      </c>
      <c r="N17" cm="1">
        <f t="array" ref="N17">BS_Gamma(B17,$G$4,G17,I17,C17)</f>
        <v>2.5657941999538683E-4</v>
      </c>
      <c r="O17">
        <f t="shared" si="3"/>
        <v>1.0487271407504155E-4</v>
      </c>
      <c r="P17" cm="1">
        <f t="array" ref="P17">BS_Theta("P",B17,$F$4,F17,H17,C17)</f>
        <v>-100.53428620029435</v>
      </c>
      <c r="Q17" cm="1">
        <f t="array" ref="Q17">BS_Theta("P",B17,$G$4,G17,I17,C17)</f>
        <v>-98.518077280171312</v>
      </c>
      <c r="R17">
        <f t="shared" si="4"/>
        <v>-2.0162089201230344</v>
      </c>
      <c r="S17" cm="1">
        <f t="array" ref="S17">BS_Vega(B17,$F$4,F17,H17,C17)</f>
        <v>1265.3642195741618</v>
      </c>
      <c r="T17" cm="1">
        <f t="array" ref="T17">-BS_Vega(B17,$G$4,G17,I17,C17)</f>
        <v>-960.95640483393879</v>
      </c>
      <c r="U17">
        <f t="shared" si="5"/>
        <v>304.40781474022299</v>
      </c>
      <c r="V17">
        <f t="shared" si="7"/>
        <v>-29.840000000000146</v>
      </c>
      <c r="W17">
        <f t="shared" si="8"/>
        <v>-245.01999999999998</v>
      </c>
      <c r="X17" s="20">
        <f t="shared" si="9"/>
        <v>4.2000000000000171</v>
      </c>
      <c r="Y17" s="20">
        <f t="shared" si="10"/>
        <v>1.5999999999999943</v>
      </c>
      <c r="Z17" s="20">
        <f t="shared" si="11"/>
        <v>-27.240000000000123</v>
      </c>
      <c r="AA17" s="20">
        <f t="shared" si="12"/>
        <v>-219.71999999999997</v>
      </c>
      <c r="AB17">
        <f t="shared" si="13"/>
        <v>-26.135269326131159</v>
      </c>
      <c r="AC17">
        <f t="shared" si="14"/>
        <v>-218.16072951729069</v>
      </c>
      <c r="AD17">
        <f t="shared" si="15"/>
        <v>1.480716318900752E-2</v>
      </c>
      <c r="AE17">
        <f t="shared" si="16"/>
        <v>0.62786839196873134</v>
      </c>
      <c r="AF17">
        <f t="shared" si="6"/>
        <v>-1.1705171782884887</v>
      </c>
      <c r="AG17">
        <f t="shared" si="17"/>
        <v>-0.23995980484711676</v>
      </c>
      <c r="AH17">
        <f t="shared" si="18"/>
        <v>-27.290979341230639</v>
      </c>
      <c r="AI17">
        <f t="shared" si="19"/>
        <v>-217.77282093016908</v>
      </c>
    </row>
    <row r="18" spans="1:35" x14ac:dyDescent="0.3">
      <c r="A18" s="3">
        <v>39616</v>
      </c>
      <c r="B18">
        <v>3555.58</v>
      </c>
      <c r="C18" s="7">
        <v>5.4339999999999999E-2</v>
      </c>
      <c r="D18" s="5">
        <v>227.4</v>
      </c>
      <c r="E18" s="5">
        <v>120.6</v>
      </c>
      <c r="F18" s="8">
        <v>0.27533666864205836</v>
      </c>
      <c r="G18" s="8">
        <v>0.29498480374334363</v>
      </c>
      <c r="H18">
        <f t="shared" si="0"/>
        <v>1.0054794520547945</v>
      </c>
      <c r="I18">
        <f t="shared" si="1"/>
        <v>1.0054794520547945</v>
      </c>
      <c r="J18" cm="1">
        <f t="array" ref="J18">BS_Delta("P",B18,$F$4,F18,H18,C18)</f>
        <v>-0.30924131956754564</v>
      </c>
      <c r="K18" cm="1">
        <f t="array" ref="K18">-BS_Delta("P",B18,$G$4,G18,I18,C18)</f>
        <v>0.1821972755922987</v>
      </c>
      <c r="L18">
        <f t="shared" si="2"/>
        <v>0.87295595602475307</v>
      </c>
      <c r="M18" cm="1">
        <f t="array" ref="M18">BS_Gamma(B18,$F$4,F18,H18,C18)</f>
        <v>3.5900057396141979E-4</v>
      </c>
      <c r="N18" cm="1">
        <f t="array" ref="N18">BS_Gamma(B18,$G$4,G18,I18,C18)</f>
        <v>2.5140174328995324E-4</v>
      </c>
      <c r="O18">
        <f t="shared" si="3"/>
        <v>1.0759883067146654E-4</v>
      </c>
      <c r="P18" cm="1">
        <f t="array" ref="P18">BS_Theta("P",B18,$F$4,F18,H18,C18)</f>
        <v>-99.928452433451341</v>
      </c>
      <c r="Q18" cm="1">
        <f t="array" ref="Q18">BS_Theta("P",B18,$G$4,G18,I18,C18)</f>
        <v>-96.523939039310889</v>
      </c>
      <c r="R18">
        <f t="shared" si="4"/>
        <v>-3.4045133941404515</v>
      </c>
      <c r="S18" cm="1">
        <f t="array" ref="S18">BS_Vega(B18,$F$4,F18,H18,C18)</f>
        <v>1256.4734192032704</v>
      </c>
      <c r="T18" cm="1">
        <f t="array" ref="T18">-BS_Vega(B18,$G$4,G18,I18,C18)</f>
        <v>-942.67510428713024</v>
      </c>
      <c r="U18">
        <f t="shared" si="5"/>
        <v>313.79831491614016</v>
      </c>
      <c r="V18">
        <f t="shared" si="7"/>
        <v>22.75</v>
      </c>
      <c r="W18">
        <f t="shared" si="8"/>
        <v>-222.26999999999998</v>
      </c>
      <c r="X18" s="20">
        <f t="shared" si="9"/>
        <v>-11</v>
      </c>
      <c r="Y18" s="20">
        <f t="shared" si="10"/>
        <v>-7</v>
      </c>
      <c r="Z18" s="20">
        <f t="shared" si="11"/>
        <v>18.75</v>
      </c>
      <c r="AA18" s="20">
        <f t="shared" si="12"/>
        <v>-200.96999999999997</v>
      </c>
      <c r="AB18">
        <f t="shared" si="13"/>
        <v>19.823939580812159</v>
      </c>
      <c r="AC18">
        <f t="shared" si="14"/>
        <v>-198.33678993647854</v>
      </c>
      <c r="AD18">
        <f t="shared" si="15"/>
        <v>2.1615231984100244E-2</v>
      </c>
      <c r="AE18">
        <f t="shared" si="16"/>
        <v>0.64948362395283155</v>
      </c>
      <c r="AF18">
        <f t="shared" si="6"/>
        <v>-1.0839585974620118</v>
      </c>
      <c r="AG18">
        <f t="shared" si="17"/>
        <v>-1.3239184023091286</v>
      </c>
      <c r="AH18">
        <f t="shared" si="18"/>
        <v>18.761596215334247</v>
      </c>
      <c r="AI18">
        <f t="shared" si="19"/>
        <v>-199.01122471483484</v>
      </c>
    </row>
    <row r="19" spans="1:35" x14ac:dyDescent="0.3">
      <c r="A19" s="3">
        <v>39617</v>
      </c>
      <c r="B19">
        <v>3507.97</v>
      </c>
      <c r="C19" s="7">
        <v>5.4269999999999999E-2</v>
      </c>
      <c r="D19" s="5">
        <v>249.2</v>
      </c>
      <c r="E19" s="5">
        <v>133.4</v>
      </c>
      <c r="F19" s="8">
        <v>0.28072798384990866</v>
      </c>
      <c r="G19" s="8">
        <v>0.29915595121212568</v>
      </c>
      <c r="H19">
        <f t="shared" si="0"/>
        <v>1.0027397260273974</v>
      </c>
      <c r="I19">
        <f t="shared" si="1"/>
        <v>1.0027397260273974</v>
      </c>
      <c r="J19" cm="1">
        <f t="array" ref="J19">BS_Delta("P",B19,$F$4,F19,H19,C19)</f>
        <v>-0.32803408935145784</v>
      </c>
      <c r="K19" cm="1">
        <f t="array" ref="K19">-BS_Delta("P",B19,$G$4,G19,I19,C19)</f>
        <v>0.19665910419738653</v>
      </c>
      <c r="L19">
        <f t="shared" si="2"/>
        <v>0.86862501484592869</v>
      </c>
      <c r="M19" cm="1">
        <f t="array" ref="M19">BS_Gamma(B19,$F$4,F19,H19,C19)</f>
        <v>3.6635868048965042E-4</v>
      </c>
      <c r="N19" cm="1">
        <f t="array" ref="N19">BS_Gamma(B19,$G$4,G19,I19,C19)</f>
        <v>2.6371579918098574E-4</v>
      </c>
      <c r="O19">
        <f t="shared" si="3"/>
        <v>1.0264288130866468E-4</v>
      </c>
      <c r="P19" cm="1">
        <f t="array" ref="P19">BS_Theta("P",B19,$F$4,F19,H19,C19)</f>
        <v>-101.67331859037503</v>
      </c>
      <c r="Q19" cm="1">
        <f t="array" ref="Q19">BS_Theta("P",B19,$G$4,G19,I19,C19)</f>
        <v>-100.53647862725192</v>
      </c>
      <c r="R19">
        <f t="shared" si="4"/>
        <v>-1.1368399631231085</v>
      </c>
      <c r="S19" cm="1">
        <f t="array" ref="S19">BS_Vega(B19,$F$4,F19,H19,C19)</f>
        <v>1269.0892197305614</v>
      </c>
      <c r="T19" cm="1">
        <f t="array" ref="T19">-BS_Vega(B19,$G$4,G19,I19,C19)</f>
        <v>-973.49507372903986</v>
      </c>
      <c r="U19">
        <f t="shared" si="5"/>
        <v>295.59414600152149</v>
      </c>
      <c r="V19">
        <f t="shared" si="7"/>
        <v>-47.610000000000127</v>
      </c>
      <c r="W19">
        <f t="shared" si="8"/>
        <v>-269.88000000000011</v>
      </c>
      <c r="X19" s="20">
        <f t="shared" si="9"/>
        <v>21.799999999999983</v>
      </c>
      <c r="Y19" s="20">
        <f t="shared" si="10"/>
        <v>12.800000000000011</v>
      </c>
      <c r="Z19" s="20">
        <f t="shared" si="11"/>
        <v>-38.610000000000156</v>
      </c>
      <c r="AA19" s="20">
        <f t="shared" si="12"/>
        <v>-239.58000000000013</v>
      </c>
      <c r="AB19">
        <f t="shared" si="13"/>
        <v>-41.561433066338601</v>
      </c>
      <c r="AC19">
        <f t="shared" si="14"/>
        <v>-239.89822300281713</v>
      </c>
      <c r="AD19">
        <f t="shared" si="15"/>
        <v>0.11262035175788364</v>
      </c>
      <c r="AE19">
        <f t="shared" si="16"/>
        <v>0.7621039757107152</v>
      </c>
      <c r="AF19">
        <f t="shared" si="6"/>
        <v>2.8420073780791344</v>
      </c>
      <c r="AG19">
        <f t="shared" si="17"/>
        <v>1.5180889757700058</v>
      </c>
      <c r="AH19">
        <f t="shared" si="18"/>
        <v>-38.606805336501587</v>
      </c>
      <c r="AI19">
        <f t="shared" si="19"/>
        <v>-237.61803005133643</v>
      </c>
    </row>
    <row r="20" spans="1:35" x14ac:dyDescent="0.3">
      <c r="A20" s="3">
        <v>39618</v>
      </c>
      <c r="B20">
        <v>3486.71</v>
      </c>
      <c r="C20" s="7">
        <v>5.4299999999999994E-2</v>
      </c>
      <c r="D20" s="5">
        <v>252.2</v>
      </c>
      <c r="E20" s="5">
        <v>134.1</v>
      </c>
      <c r="F20" s="8">
        <v>0.27778767332119414</v>
      </c>
      <c r="G20" s="8">
        <v>0.29585208003511931</v>
      </c>
      <c r="H20">
        <f t="shared" si="0"/>
        <v>1</v>
      </c>
      <c r="I20">
        <f t="shared" si="1"/>
        <v>1</v>
      </c>
      <c r="J20" cm="1">
        <f t="array" ref="J20">BS_Delta("P",B20,$F$4,F20,H20,C20)</f>
        <v>-0.33540993833416566</v>
      </c>
      <c r="K20" cm="1">
        <f t="array" ref="K20">-BS_Delta("P",B20,$G$4,G20,I20,C20)</f>
        <v>0.20055390416871977</v>
      </c>
      <c r="L20">
        <f t="shared" si="2"/>
        <v>0.86514396583455411</v>
      </c>
      <c r="M20" cm="1">
        <f t="array" ref="M20">BS_Gamma(B20,$F$4,F20,H20,C20)</f>
        <v>3.7631782894515095E-4</v>
      </c>
      <c r="N20" cm="1">
        <f t="array" ref="N20">BS_Gamma(B20,$G$4,G20,I20,C20)</f>
        <v>2.7185055489930361E-4</v>
      </c>
      <c r="O20">
        <f t="shared" si="3"/>
        <v>1.0446727404584734E-4</v>
      </c>
      <c r="P20" cm="1">
        <f t="array" ref="P20">BS_Theta("P",B20,$F$4,F20,H20,C20)</f>
        <v>-99.318244584935655</v>
      </c>
      <c r="Q20" cm="1">
        <f t="array" ref="Q20">BS_Theta("P",B20,$G$4,G20,I20,C20)</f>
        <v>-99.385406301472287</v>
      </c>
      <c r="R20">
        <f t="shared" si="4"/>
        <v>6.7161716536631388E-2</v>
      </c>
      <c r="S20" cm="1">
        <f t="array" ref="S20">BS_Vega(B20,$F$4,F20,H20,C20)</f>
        <v>1270.8650004457008</v>
      </c>
      <c r="T20" cm="1">
        <f t="array" ref="T20">-BS_Vega(B20,$G$4,G20,I20,C20)</f>
        <v>-977.76954380909888</v>
      </c>
      <c r="U20">
        <f t="shared" si="5"/>
        <v>293.09545663660197</v>
      </c>
      <c r="V20">
        <f t="shared" si="7"/>
        <v>-21.259999999999764</v>
      </c>
      <c r="W20">
        <f t="shared" si="8"/>
        <v>-291.13999999999987</v>
      </c>
      <c r="X20" s="20">
        <f t="shared" si="9"/>
        <v>3</v>
      </c>
      <c r="Y20" s="20">
        <f t="shared" si="10"/>
        <v>0.69999999999998863</v>
      </c>
      <c r="Z20" s="20">
        <f t="shared" si="11"/>
        <v>-18.959999999999752</v>
      </c>
      <c r="AA20" s="20">
        <f t="shared" si="12"/>
        <v>-258.53999999999985</v>
      </c>
      <c r="AB20">
        <f t="shared" si="13"/>
        <v>-18.466967815624237</v>
      </c>
      <c r="AC20">
        <f t="shared" si="14"/>
        <v>-258.36519081844136</v>
      </c>
      <c r="AD20">
        <f t="shared" si="15"/>
        <v>2.0082024753939862E-2</v>
      </c>
      <c r="AE20">
        <f t="shared" si="16"/>
        <v>0.78218600046465503</v>
      </c>
      <c r="AF20">
        <f t="shared" si="6"/>
        <v>-0.51521407960079868</v>
      </c>
      <c r="AG20">
        <f t="shared" si="17"/>
        <v>1.0028748961692071</v>
      </c>
      <c r="AH20">
        <f t="shared" si="18"/>
        <v>-18.962099870471096</v>
      </c>
      <c r="AI20">
        <f t="shared" si="19"/>
        <v>-256.58012992180755</v>
      </c>
    </row>
    <row r="21" spans="1:35" x14ac:dyDescent="0.3">
      <c r="A21" s="3">
        <v>39619</v>
      </c>
      <c r="B21">
        <v>3426.58</v>
      </c>
      <c r="C21" s="7">
        <v>5.4290000000000005E-2</v>
      </c>
      <c r="D21" s="5">
        <v>279.5</v>
      </c>
      <c r="E21" s="5">
        <v>150.69999999999999</v>
      </c>
      <c r="F21" s="8">
        <v>0.28301919455971958</v>
      </c>
      <c r="G21" s="8">
        <v>0.30011904536628786</v>
      </c>
      <c r="H21">
        <f t="shared" si="0"/>
        <v>0.99726027397260275</v>
      </c>
      <c r="I21">
        <f t="shared" si="1"/>
        <v>0.99726027397260275</v>
      </c>
      <c r="J21" cm="1">
        <f t="array" ref="J21">BS_Delta("P",B21,$F$4,F21,H21,C21)</f>
        <v>-0.35926287752332042</v>
      </c>
      <c r="K21" cm="1">
        <f t="array" ref="K21">-BS_Delta("P",B21,$G$4,G21,I21,C21)</f>
        <v>0.21943553204837418</v>
      </c>
      <c r="L21">
        <f t="shared" si="2"/>
        <v>0.86017265452505376</v>
      </c>
      <c r="M21" cm="1">
        <f t="array" ref="M21">BS_Gamma(B21,$F$4,F21,H21,C21)</f>
        <v>3.8602863568105268E-4</v>
      </c>
      <c r="N21" cm="1">
        <f t="array" ref="N21">BS_Gamma(B21,$G$4,G21,I21,C21)</f>
        <v>2.8789208149177214E-4</v>
      </c>
      <c r="O21">
        <f t="shared" si="3"/>
        <v>9.8136554189280536E-5</v>
      </c>
      <c r="P21" cm="1">
        <f t="array" ref="P21">BS_Theta("P",B21,$F$4,F21,H21,C21)</f>
        <v>-99.520385369755445</v>
      </c>
      <c r="Q21" cm="1">
        <f t="array" ref="Q21">BS_Theta("P",B21,$G$4,G21,I21,C21)</f>
        <v>-103.23004188044834</v>
      </c>
      <c r="R21">
        <f t="shared" si="4"/>
        <v>3.7096565106928949</v>
      </c>
      <c r="S21" cm="1">
        <f t="array" ref="S21">BS_Vega(B21,$F$4,F21,H21,C21)</f>
        <v>1279.280214790432</v>
      </c>
      <c r="T21" cm="1">
        <f t="array" ref="T21">-BS_Vega(B21,$G$4,G21,I21,C21)</f>
        <v>-1011.704185394112</v>
      </c>
      <c r="U21">
        <f t="shared" si="5"/>
        <v>267.57602939632</v>
      </c>
      <c r="V21">
        <f t="shared" si="7"/>
        <v>-60.130000000000109</v>
      </c>
      <c r="W21">
        <f t="shared" si="8"/>
        <v>-351.27</v>
      </c>
      <c r="X21" s="20">
        <f t="shared" si="9"/>
        <v>27.300000000000011</v>
      </c>
      <c r="Y21" s="20">
        <f t="shared" si="10"/>
        <v>16.599999999999994</v>
      </c>
      <c r="Z21" s="20">
        <f t="shared" si="11"/>
        <v>-49.430000000000092</v>
      </c>
      <c r="AA21" s="20">
        <f t="shared" si="12"/>
        <v>-307.96999999999991</v>
      </c>
      <c r="AB21">
        <f t="shared" si="13"/>
        <v>-52.021106665631834</v>
      </c>
      <c r="AC21">
        <f t="shared" si="14"/>
        <v>-310.38629748407322</v>
      </c>
      <c r="AD21">
        <f t="shared" si="15"/>
        <v>0.18904082547138926</v>
      </c>
      <c r="AE21">
        <f t="shared" si="16"/>
        <v>0.97122682593604426</v>
      </c>
      <c r="AF21">
        <f t="shared" si="6"/>
        <v>2.4764484958244131</v>
      </c>
      <c r="AG21">
        <f t="shared" si="17"/>
        <v>3.4793233919936202</v>
      </c>
      <c r="AH21">
        <f t="shared" si="18"/>
        <v>-49.355617344336032</v>
      </c>
      <c r="AI21">
        <f t="shared" si="19"/>
        <v>-305.93574726614361</v>
      </c>
    </row>
    <row r="22" spans="1:35" x14ac:dyDescent="0.3">
      <c r="A22" s="3">
        <v>39622</v>
      </c>
      <c r="B22">
        <v>3427.33</v>
      </c>
      <c r="C22" s="7">
        <v>5.4189999999999995E-2</v>
      </c>
      <c r="D22" s="5">
        <v>273.60000000000002</v>
      </c>
      <c r="E22" s="5">
        <v>146.19999999999999</v>
      </c>
      <c r="F22" s="8">
        <v>0.27912836961771997</v>
      </c>
      <c r="G22" s="8">
        <v>0.29656266249118818</v>
      </c>
      <c r="H22">
        <f t="shared" si="0"/>
        <v>0.989041095890411</v>
      </c>
      <c r="I22">
        <f t="shared" si="1"/>
        <v>0.989041095890411</v>
      </c>
      <c r="J22" cm="1">
        <f t="array" ref="J22">BS_Delta("P",B22,$F$4,F22,H22,C22)</f>
        <v>-0.35915750011439329</v>
      </c>
      <c r="K22" cm="1">
        <f t="array" ref="K22">-BS_Delta("P",B22,$G$4,G22,I22,C22)</f>
        <v>0.21748565559359745</v>
      </c>
      <c r="L22">
        <f t="shared" si="2"/>
        <v>0.85832815547920416</v>
      </c>
      <c r="M22" cm="1">
        <f t="array" ref="M22">BS_Gamma(B22,$F$4,F22,H22,C22)</f>
        <v>3.9290661138748951E-4</v>
      </c>
      <c r="N22" cm="1">
        <f t="array" ref="N22">BS_Gamma(B22,$G$4,G22,I22,C22)</f>
        <v>2.9098893919171631E-4</v>
      </c>
      <c r="O22">
        <f t="shared" si="3"/>
        <v>1.019176721957732E-4</v>
      </c>
      <c r="P22" cm="1">
        <f t="array" ref="P22">BS_Theta("P",B22,$F$4,F22,H22,C22)</f>
        <v>-98.264001304708543</v>
      </c>
      <c r="Q22" cm="1">
        <f t="array" ref="Q22">BS_Theta("P",B22,$G$4,G22,I22,C22)</f>
        <v>-101.99563756555578</v>
      </c>
      <c r="R22">
        <f t="shared" si="4"/>
        <v>3.7316362608472389</v>
      </c>
      <c r="S22" cm="1">
        <f t="array" ref="S22">BS_Vega(B22,$F$4,F22,H22,C22)</f>
        <v>1274.1468881233079</v>
      </c>
      <c r="T22" cm="1">
        <f t="array" ref="T22">-BS_Vega(B22,$G$4,G22,I22,C22)</f>
        <v>-1002.5802281606701</v>
      </c>
      <c r="U22">
        <f t="shared" si="5"/>
        <v>271.5666599626378</v>
      </c>
      <c r="V22">
        <f t="shared" si="7"/>
        <v>0.75</v>
      </c>
      <c r="W22">
        <f t="shared" si="8"/>
        <v>-350.52</v>
      </c>
      <c r="X22" s="20">
        <f t="shared" si="9"/>
        <v>-5.8999999999999773</v>
      </c>
      <c r="Y22" s="20">
        <f t="shared" si="10"/>
        <v>-4.5</v>
      </c>
      <c r="Z22" s="20">
        <f t="shared" si="11"/>
        <v>-0.64999999999997726</v>
      </c>
      <c r="AA22" s="20">
        <f t="shared" si="12"/>
        <v>-308.61999999999989</v>
      </c>
      <c r="AB22">
        <f t="shared" si="13"/>
        <v>0.64512949089379035</v>
      </c>
      <c r="AC22">
        <f t="shared" si="14"/>
        <v>-309.74116799317943</v>
      </c>
      <c r="AD22">
        <f t="shared" si="15"/>
        <v>3.0517928391012816E-2</v>
      </c>
      <c r="AE22">
        <f t="shared" si="16"/>
        <v>1.001744754327057</v>
      </c>
      <c r="AF22">
        <f t="shared" si="6"/>
        <v>-1.3794479279109289</v>
      </c>
      <c r="AG22">
        <f t="shared" si="17"/>
        <v>2.0998754640826913</v>
      </c>
      <c r="AH22">
        <f t="shared" si="18"/>
        <v>-0.70380050862612564</v>
      </c>
      <c r="AI22">
        <f t="shared" si="19"/>
        <v>-306.63954777476971</v>
      </c>
    </row>
    <row r="23" spans="1:35" x14ac:dyDescent="0.3">
      <c r="A23" s="3">
        <v>39623</v>
      </c>
      <c r="B23">
        <v>3404.52</v>
      </c>
      <c r="C23" s="7">
        <v>5.4219999999999997E-2</v>
      </c>
      <c r="D23" s="5">
        <v>283.10000000000002</v>
      </c>
      <c r="E23" s="5">
        <v>151.5</v>
      </c>
      <c r="F23" s="8">
        <v>0.28031773636058843</v>
      </c>
      <c r="G23" s="8">
        <v>0.29712647073574272</v>
      </c>
      <c r="H23">
        <f t="shared" si="0"/>
        <v>0.98630136986301364</v>
      </c>
      <c r="I23">
        <f t="shared" si="1"/>
        <v>0.98630136986301364</v>
      </c>
      <c r="J23" cm="1">
        <f t="array" ref="J23">BS_Delta("P",B23,$F$4,F23,H23,C23)</f>
        <v>-0.36841216522639297</v>
      </c>
      <c r="K23" cm="1">
        <f t="array" ref="K23">-BS_Delta("P",B23,$G$4,G23,I23,C23)</f>
        <v>0.22439555141531597</v>
      </c>
      <c r="L23">
        <f t="shared" si="2"/>
        <v>0.855983386188923</v>
      </c>
      <c r="M23" cm="1">
        <f t="array" ref="M23">BS_Gamma(B23,$F$4,F23,H23,C23)</f>
        <v>3.9780910546496386E-4</v>
      </c>
      <c r="N23" cm="1">
        <f t="array" ref="N23">BS_Gamma(B23,$G$4,G23,I23,C23)</f>
        <v>2.9807801505261547E-4</v>
      </c>
      <c r="O23">
        <f t="shared" si="3"/>
        <v>9.9731090412348382E-5</v>
      </c>
      <c r="P23" cm="1">
        <f t="array" ref="P23">BS_Theta("P",B23,$F$4,F23,H23,C23)</f>
        <v>-97.802042571971569</v>
      </c>
      <c r="Q23" cm="1">
        <f t="array" ref="Q23">BS_Theta("P",B23,$G$4,G23,I23,C23)</f>
        <v>-102.87243477987838</v>
      </c>
      <c r="R23">
        <f t="shared" si="4"/>
        <v>5.0703922079068064</v>
      </c>
      <c r="S23" cm="1">
        <f t="array" ref="S23">BS_Vega(B23,$F$4,F23,H23,C23)</f>
        <v>1274.8136730372976</v>
      </c>
      <c r="T23" cm="1">
        <f t="array" ref="T23">-BS_Vega(B23,$G$4,G23,I23,C23)</f>
        <v>-1012.4945772530107</v>
      </c>
      <c r="U23">
        <f t="shared" si="5"/>
        <v>262.3190957842869</v>
      </c>
      <c r="V23">
        <f t="shared" si="7"/>
        <v>-22.809999999999945</v>
      </c>
      <c r="W23">
        <f t="shared" si="8"/>
        <v>-373.32999999999993</v>
      </c>
      <c r="X23" s="20">
        <f t="shared" si="9"/>
        <v>9.5</v>
      </c>
      <c r="Y23" s="20">
        <f t="shared" si="10"/>
        <v>5.3000000000000114</v>
      </c>
      <c r="Z23" s="20">
        <f t="shared" si="11"/>
        <v>-18.609999999999957</v>
      </c>
      <c r="AA23" s="20">
        <f t="shared" si="12"/>
        <v>-327.22999999999985</v>
      </c>
      <c r="AB23">
        <f t="shared" si="13"/>
        <v>-19.578465226480599</v>
      </c>
      <c r="AC23">
        <f t="shared" si="14"/>
        <v>-329.31963321966003</v>
      </c>
      <c r="AD23">
        <f t="shared" si="15"/>
        <v>3.6737344670892062E-2</v>
      </c>
      <c r="AE23">
        <f t="shared" si="16"/>
        <v>1.0384820989979491</v>
      </c>
      <c r="AF23">
        <f t="shared" si="6"/>
        <v>0.95016493579884098</v>
      </c>
      <c r="AG23">
        <f t="shared" si="17"/>
        <v>3.0500403998815324</v>
      </c>
      <c r="AH23">
        <f t="shared" si="18"/>
        <v>-18.591562946010864</v>
      </c>
      <c r="AI23">
        <f t="shared" si="19"/>
        <v>-325.23111072078058</v>
      </c>
    </row>
    <row r="24" spans="1:35" x14ac:dyDescent="0.3">
      <c r="A24" s="3">
        <v>39624</v>
      </c>
      <c r="B24">
        <v>3460.4</v>
      </c>
      <c r="C24" s="7">
        <v>5.4179999999999999E-2</v>
      </c>
      <c r="D24" s="5">
        <v>252.9</v>
      </c>
      <c r="E24" s="5">
        <v>132.19999999999999</v>
      </c>
      <c r="F24" s="8">
        <v>0.27241304750401368</v>
      </c>
      <c r="G24" s="8">
        <v>0.2900050580854297</v>
      </c>
      <c r="H24">
        <f t="shared" si="0"/>
        <v>0.98356164383561639</v>
      </c>
      <c r="I24">
        <f t="shared" si="1"/>
        <v>0.98356164383561639</v>
      </c>
      <c r="J24" cm="1">
        <f t="array" ref="J24">BS_Delta("P",B24,$F$4,F24,H24,C24)</f>
        <v>-0.34549648083631124</v>
      </c>
      <c r="K24" cm="1">
        <f t="array" ref="K24">-BS_Delta("P",B24,$G$4,G24,I24,C24)</f>
        <v>0.20454574330495845</v>
      </c>
      <c r="L24">
        <f t="shared" si="2"/>
        <v>0.85904926246864721</v>
      </c>
      <c r="M24" cm="1">
        <f t="array" ref="M24">BS_Gamma(B24,$F$4,F24,H24,C24)</f>
        <v>3.9431480235631311E-4</v>
      </c>
      <c r="N24" cm="1">
        <f t="array" ref="N24">BS_Gamma(B24,$G$4,G24,I24,C24)</f>
        <v>2.8510490956396386E-4</v>
      </c>
      <c r="O24">
        <f t="shared" si="3"/>
        <v>1.0920989279234925E-4</v>
      </c>
      <c r="P24" cm="1">
        <f t="array" ref="P24">BS_Theta("P",B24,$F$4,F24,H24,C24)</f>
        <v>-96.71756945589101</v>
      </c>
      <c r="Q24" cm="1">
        <f t="array" ref="Q24">BS_Theta("P",B24,$G$4,G24,I24,C24)</f>
        <v>-98.049907010649392</v>
      </c>
      <c r="R24">
        <f t="shared" si="4"/>
        <v>1.3323375547583822</v>
      </c>
      <c r="S24" cm="1">
        <f t="array" ref="S24">BS_Vega(B24,$F$4,F24,H24,C24)</f>
        <v>1265.1009331789767</v>
      </c>
      <c r="T24" cm="1">
        <f t="array" ref="T24">-BS_Vega(B24,$G$4,G24,I24,C24)</f>
        <v>-973.78809205087407</v>
      </c>
      <c r="U24">
        <f t="shared" si="5"/>
        <v>291.3128411281026</v>
      </c>
      <c r="V24">
        <f t="shared" si="7"/>
        <v>55.880000000000109</v>
      </c>
      <c r="W24">
        <f t="shared" si="8"/>
        <v>-317.44999999999982</v>
      </c>
      <c r="X24" s="20">
        <f t="shared" si="9"/>
        <v>-30.200000000000017</v>
      </c>
      <c r="Y24" s="20">
        <f t="shared" si="10"/>
        <v>-19.300000000000011</v>
      </c>
      <c r="Z24" s="20">
        <f t="shared" si="11"/>
        <v>44.980000000000103</v>
      </c>
      <c r="AA24" s="20">
        <f t="shared" si="12"/>
        <v>-282.24999999999977</v>
      </c>
      <c r="AB24">
        <f t="shared" si="13"/>
        <v>47.832351620237112</v>
      </c>
      <c r="AC24">
        <f t="shared" si="14"/>
        <v>-281.48728159942294</v>
      </c>
      <c r="AD24">
        <f t="shared" si="15"/>
        <v>0.1696003604039574</v>
      </c>
      <c r="AE24">
        <f t="shared" si="16"/>
        <v>1.2080824594019064</v>
      </c>
      <c r="AF24">
        <f t="shared" si="6"/>
        <v>-2.8666137446441278</v>
      </c>
      <c r="AG24">
        <f t="shared" si="17"/>
        <v>0.18342665523740465</v>
      </c>
      <c r="AH24">
        <f t="shared" si="18"/>
        <v>45.13533823599694</v>
      </c>
      <c r="AI24">
        <f t="shared" si="19"/>
        <v>-280.09577248478365</v>
      </c>
    </row>
    <row r="25" spans="1:35" x14ac:dyDescent="0.3">
      <c r="A25" s="3">
        <v>39625</v>
      </c>
      <c r="B25">
        <v>3366.35</v>
      </c>
      <c r="C25" s="7">
        <v>5.4080000000000003E-2</v>
      </c>
      <c r="D25" s="5">
        <v>294.8</v>
      </c>
      <c r="E25" s="5">
        <v>157</v>
      </c>
      <c r="F25" s="8">
        <v>0.27847316710786052</v>
      </c>
      <c r="G25" s="8">
        <v>0.29434900009375503</v>
      </c>
      <c r="H25">
        <f t="shared" si="0"/>
        <v>0.98082191780821915</v>
      </c>
      <c r="I25">
        <f t="shared" si="1"/>
        <v>0.98082191780821915</v>
      </c>
      <c r="J25" cm="1">
        <f t="array" ref="J25">BS_Delta("P",B25,$F$4,F25,H25,C25)</f>
        <v>-0.38431759280147215</v>
      </c>
      <c r="K25" cm="1">
        <f t="array" ref="K25">-BS_Delta("P",B25,$G$4,G25,I25,C25)</f>
        <v>0.23485498069169042</v>
      </c>
      <c r="L25">
        <f t="shared" si="2"/>
        <v>0.85053738789021827</v>
      </c>
      <c r="M25" cm="1">
        <f t="array" ref="M25">BS_Gamma(B25,$F$4,F25,H25,C25)</f>
        <v>4.1151200799730497E-4</v>
      </c>
      <c r="N25" cm="1">
        <f t="array" ref="N25">BS_Gamma(B25,$G$4,G25,I25,C25)</f>
        <v>3.1303966004373238E-4</v>
      </c>
      <c r="O25">
        <f t="shared" si="3"/>
        <v>9.8472347953572586E-5</v>
      </c>
      <c r="P25" cm="1">
        <f t="array" ref="P25">BS_Theta("P",B25,$F$4,F25,H25,C25)</f>
        <v>-94.907725560221493</v>
      </c>
      <c r="Q25" cm="1">
        <f t="array" ref="Q25">BS_Theta("P",B25,$G$4,G25,I25,C25)</f>
        <v>-102.43204379980712</v>
      </c>
      <c r="R25">
        <f t="shared" si="4"/>
        <v>7.5243182395856252</v>
      </c>
      <c r="S25" cm="1">
        <f t="array" ref="S25">BS_Vega(B25,$F$4,F25,H25,C25)</f>
        <v>1273.7217479599756</v>
      </c>
      <c r="T25" cm="1">
        <f t="array" ref="T25">-BS_Vega(B25,$G$4,G25,I25,C25)</f>
        <v>-1024.1666401935747</v>
      </c>
      <c r="U25">
        <f t="shared" si="5"/>
        <v>249.55510776640085</v>
      </c>
      <c r="V25">
        <f t="shared" si="7"/>
        <v>-94.050000000000182</v>
      </c>
      <c r="W25">
        <f t="shared" si="8"/>
        <v>-411.5</v>
      </c>
      <c r="X25" s="20">
        <f t="shared" si="9"/>
        <v>41.900000000000006</v>
      </c>
      <c r="Y25" s="20">
        <f t="shared" si="10"/>
        <v>24.800000000000011</v>
      </c>
      <c r="Z25" s="20">
        <f t="shared" si="11"/>
        <v>-76.950000000000188</v>
      </c>
      <c r="AA25" s="20">
        <f t="shared" si="12"/>
        <v>-359.19999999999993</v>
      </c>
      <c r="AB25">
        <f t="shared" si="13"/>
        <v>-80.793583135176434</v>
      </c>
      <c r="AC25">
        <f t="shared" si="14"/>
        <v>-362.28086473459939</v>
      </c>
      <c r="AD25">
        <f t="shared" si="15"/>
        <v>0.48665296924114126</v>
      </c>
      <c r="AE25">
        <f t="shared" si="16"/>
        <v>1.6947354286430476</v>
      </c>
      <c r="AF25">
        <f t="shared" si="6"/>
        <v>3.4365839657360775</v>
      </c>
      <c r="AG25">
        <f t="shared" si="17"/>
        <v>3.6200106209734821</v>
      </c>
      <c r="AH25">
        <f t="shared" si="18"/>
        <v>-76.870346200199222</v>
      </c>
      <c r="AI25">
        <f t="shared" si="19"/>
        <v>-356.96611868498286</v>
      </c>
    </row>
    <row r="26" spans="1:35" x14ac:dyDescent="0.3">
      <c r="A26" s="3">
        <v>39626</v>
      </c>
      <c r="B26">
        <v>3340.27</v>
      </c>
      <c r="C26" s="7">
        <v>5.382E-2</v>
      </c>
      <c r="D26" s="5">
        <v>303.10000000000002</v>
      </c>
      <c r="E26" s="5">
        <v>161</v>
      </c>
      <c r="F26" s="8">
        <v>0.27688417829122614</v>
      </c>
      <c r="G26" s="8">
        <v>0.29222179462056447</v>
      </c>
      <c r="H26">
        <f t="shared" si="0"/>
        <v>0.9780821917808219</v>
      </c>
      <c r="I26">
        <f t="shared" si="1"/>
        <v>0.9780821917808219</v>
      </c>
      <c r="J26" cm="1">
        <f t="array" ref="J26">BS_Delta("P",B26,$F$4,F26,H26,C26)</f>
        <v>-0.39572543828367646</v>
      </c>
      <c r="K26" cm="1">
        <f t="array" ref="K26">-BS_Delta("P",B26,$G$4,G26,I26,C26)</f>
        <v>0.24246140393699067</v>
      </c>
      <c r="L26">
        <f t="shared" si="2"/>
        <v>0.84673596565331422</v>
      </c>
      <c r="M26" cm="1">
        <f t="array" ref="M26">BS_Gamma(B26,$F$4,F26,H26,C26)</f>
        <v>4.2117189355655635E-4</v>
      </c>
      <c r="N26" cm="1">
        <f t="array" ref="N26">BS_Gamma(B26,$G$4,G26,I26,C26)</f>
        <v>3.2382460797510885E-4</v>
      </c>
      <c r="O26">
        <f t="shared" si="3"/>
        <v>9.7347285581447503E-5</v>
      </c>
      <c r="P26" cm="1">
        <f t="array" ref="P26">BS_Theta("P",B26,$F$4,F26,H26,C26)</f>
        <v>-92.677423519808585</v>
      </c>
      <c r="Q26" cm="1">
        <f t="array" ref="Q26">BS_Theta("P",B26,$G$4,G26,I26,C26)</f>
        <v>-102.01217071421871</v>
      </c>
      <c r="R26">
        <f t="shared" si="4"/>
        <v>9.3347471944101272</v>
      </c>
      <c r="S26" cm="1">
        <f t="array" ref="S26">BS_Vega(B26,$F$4,F26,H26,C26)</f>
        <v>1272.6120145787977</v>
      </c>
      <c r="T26" cm="1">
        <f t="array" ref="T26">-BS_Vega(B26,$G$4,G26,I26,C26)</f>
        <v>-1032.6685475292127</v>
      </c>
      <c r="U26">
        <f t="shared" si="5"/>
        <v>239.94346704958502</v>
      </c>
      <c r="V26">
        <f t="shared" si="7"/>
        <v>-26.079999999999927</v>
      </c>
      <c r="W26">
        <f t="shared" si="8"/>
        <v>-437.57999999999993</v>
      </c>
      <c r="X26" s="20">
        <f t="shared" si="9"/>
        <v>8.3000000000000114</v>
      </c>
      <c r="Y26" s="20">
        <f t="shared" si="10"/>
        <v>4</v>
      </c>
      <c r="Z26" s="20">
        <f t="shared" si="11"/>
        <v>-21.779999999999916</v>
      </c>
      <c r="AA26" s="20">
        <f t="shared" si="12"/>
        <v>-380.97999999999985</v>
      </c>
      <c r="AB26">
        <f t="shared" si="13"/>
        <v>-22.182015076176832</v>
      </c>
      <c r="AC26">
        <f t="shared" si="14"/>
        <v>-384.4628798107762</v>
      </c>
      <c r="AD26">
        <f t="shared" si="15"/>
        <v>5.4103361722976903E-2</v>
      </c>
      <c r="AE26">
        <f t="shared" si="16"/>
        <v>1.7488387903660245</v>
      </c>
      <c r="AF26">
        <f t="shared" si="6"/>
        <v>0.15468326946656097</v>
      </c>
      <c r="AG26">
        <f t="shared" si="17"/>
        <v>3.7746938904400431</v>
      </c>
      <c r="AH26">
        <f t="shared" si="18"/>
        <v>-21.973228444987296</v>
      </c>
      <c r="AI26">
        <f t="shared" si="19"/>
        <v>-378.93934712997014</v>
      </c>
    </row>
    <row r="27" spans="1:35" x14ac:dyDescent="0.3">
      <c r="A27" s="3">
        <v>39629</v>
      </c>
      <c r="B27">
        <v>3352.81</v>
      </c>
      <c r="C27" s="7">
        <v>5.3899999999999997E-2</v>
      </c>
      <c r="D27" s="5">
        <v>289</v>
      </c>
      <c r="E27" s="5">
        <v>151.6</v>
      </c>
      <c r="F27" s="8">
        <v>0.27035828565107317</v>
      </c>
      <c r="G27" s="8">
        <v>0.28685625500727041</v>
      </c>
      <c r="H27">
        <f t="shared" si="0"/>
        <v>0.96986301369863015</v>
      </c>
      <c r="I27">
        <f t="shared" si="1"/>
        <v>0.96986301369863015</v>
      </c>
      <c r="J27" cm="1">
        <f t="array" ref="J27">BS_Delta("P",B27,$F$4,F27,H27,C27)</f>
        <v>-0.39090125489498861</v>
      </c>
      <c r="K27" cm="1">
        <f t="array" ref="K27">-BS_Delta("P",B27,$G$4,G27,I27,C27)</f>
        <v>0.23580069668974646</v>
      </c>
      <c r="L27">
        <f t="shared" si="2"/>
        <v>0.84489944179475784</v>
      </c>
      <c r="M27" cm="1">
        <f t="array" ref="M27">BS_Gamma(B27,$F$4,F27,H27,C27)</f>
        <v>4.3007902166280207E-4</v>
      </c>
      <c r="N27" cm="1">
        <f t="array" ref="N27">BS_Gamma(B27,$G$4,G27,I27,C27)</f>
        <v>3.2505081882815254E-4</v>
      </c>
      <c r="O27">
        <f t="shared" si="3"/>
        <v>1.0502820283464953E-4</v>
      </c>
      <c r="P27" cm="1">
        <f t="array" ref="P27">BS_Theta("P",B27,$F$4,F27,H27,C27)</f>
        <v>-90.472052398789813</v>
      </c>
      <c r="Q27" cm="1">
        <f t="array" ref="Q27">BS_Theta("P",B27,$G$4,G27,I27,C27)</f>
        <v>-99.55335908179525</v>
      </c>
      <c r="R27">
        <f t="shared" si="4"/>
        <v>9.0813066830054368</v>
      </c>
      <c r="S27" cm="1">
        <f t="array" ref="S27">BS_Vega(B27,$F$4,F27,H27,C27)</f>
        <v>1267.6992309820539</v>
      </c>
      <c r="T27" cm="1">
        <f t="array" ref="T27">-BS_Vega(B27,$G$4,G27,I27,C27)</f>
        <v>-1016.5854102240893</v>
      </c>
      <c r="U27">
        <f t="shared" si="5"/>
        <v>251.11382075796462</v>
      </c>
      <c r="V27">
        <f t="shared" si="7"/>
        <v>12.539999999999964</v>
      </c>
      <c r="W27">
        <f t="shared" si="8"/>
        <v>-425.03999999999996</v>
      </c>
      <c r="X27" s="20">
        <f t="shared" si="9"/>
        <v>-14.100000000000023</v>
      </c>
      <c r="Y27" s="20">
        <f t="shared" si="10"/>
        <v>-9.4000000000000057</v>
      </c>
      <c r="Z27" s="20">
        <f t="shared" si="11"/>
        <v>7.8399999999999466</v>
      </c>
      <c r="AA27" s="20">
        <f t="shared" si="12"/>
        <v>-373.13999999999987</v>
      </c>
      <c r="AB27">
        <f t="shared" si="13"/>
        <v>10.61806900929253</v>
      </c>
      <c r="AC27">
        <f t="shared" si="14"/>
        <v>-373.84481080148367</v>
      </c>
      <c r="AD27">
        <f t="shared" si="15"/>
        <v>8.4377957749766669E-2</v>
      </c>
      <c r="AE27">
        <f t="shared" si="16"/>
        <v>1.8332167481157913</v>
      </c>
      <c r="AF27">
        <f t="shared" si="6"/>
        <v>-2.7641053805391849</v>
      </c>
      <c r="AG27">
        <f t="shared" si="17"/>
        <v>1.0105885099008582</v>
      </c>
      <c r="AH27">
        <f t="shared" si="18"/>
        <v>7.9383415865031122</v>
      </c>
      <c r="AI27">
        <f t="shared" si="19"/>
        <v>-371.00100554346704</v>
      </c>
    </row>
    <row r="28" spans="1:35" x14ac:dyDescent="0.3">
      <c r="A28" s="3">
        <v>39630</v>
      </c>
      <c r="B28">
        <v>3292.86</v>
      </c>
      <c r="C28" s="7">
        <v>5.4179999999999999E-2</v>
      </c>
      <c r="D28" s="5">
        <v>316.7</v>
      </c>
      <c r="E28" s="5">
        <v>168.2</v>
      </c>
      <c r="F28" s="8">
        <v>0.27366172620370233</v>
      </c>
      <c r="G28" s="8">
        <v>0.28917283884383399</v>
      </c>
      <c r="H28">
        <f t="shared" si="0"/>
        <v>0.9671232876712329</v>
      </c>
      <c r="I28">
        <f t="shared" si="1"/>
        <v>0.9671232876712329</v>
      </c>
      <c r="J28" cm="1">
        <f t="array" ref="J28">BS_Delta("P",B28,$F$4,F28,H28,C28)</f>
        <v>-0.41672115266276433</v>
      </c>
      <c r="K28" cm="1">
        <f t="array" ref="K28">-BS_Delta("P",B28,$G$4,G28,I28,C28)</f>
        <v>0.2565620604587695</v>
      </c>
      <c r="L28">
        <f t="shared" si="2"/>
        <v>0.83984090779600518</v>
      </c>
      <c r="M28" cm="1">
        <f t="array" ref="M28">BS_Gamma(B28,$F$4,F28,H28,C28)</f>
        <v>4.403310081796408E-4</v>
      </c>
      <c r="N28" cm="1">
        <f t="array" ref="N28">BS_Gamma(B28,$G$4,G28,I28,C28)</f>
        <v>3.4400635071037263E-4</v>
      </c>
      <c r="O28">
        <f t="shared" si="3"/>
        <v>9.6324657469268164E-5</v>
      </c>
      <c r="P28" cm="1">
        <f t="array" ref="P28">BS_Theta("P",B28,$F$4,F28,H28,C28)</f>
        <v>-87.277216380259006</v>
      </c>
      <c r="Q28" cm="1">
        <f t="array" ref="Q28">BS_Theta("P",B28,$G$4,G28,I28,C28)</f>
        <v>-101.06894692523717</v>
      </c>
      <c r="R28">
        <f t="shared" si="4"/>
        <v>13.791730544978165</v>
      </c>
      <c r="S28" cm="1">
        <f t="array" ref="S28">BS_Vega(B28,$F$4,F28,H28,C28)</f>
        <v>1263.6351724739422</v>
      </c>
      <c r="T28" cm="1">
        <f t="array" ref="T28">-BS_Vega(B28,$G$4,G28,I28,C28)</f>
        <v>-1043.1633796580991</v>
      </c>
      <c r="U28">
        <f t="shared" si="5"/>
        <v>220.47179281584317</v>
      </c>
      <c r="V28">
        <f t="shared" si="7"/>
        <v>-59.949999999999818</v>
      </c>
      <c r="W28">
        <f t="shared" si="8"/>
        <v>-484.98999999999978</v>
      </c>
      <c r="X28" s="20">
        <f t="shared" si="9"/>
        <v>27.699999999999989</v>
      </c>
      <c r="Y28" s="20">
        <f t="shared" si="10"/>
        <v>16.599999999999994</v>
      </c>
      <c r="Z28" s="20">
        <f t="shared" si="11"/>
        <v>-48.849999999999824</v>
      </c>
      <c r="AA28" s="20">
        <f t="shared" si="12"/>
        <v>-421.98999999999967</v>
      </c>
      <c r="AB28">
        <f t="shared" si="13"/>
        <v>-50.651721535595577</v>
      </c>
      <c r="AC28">
        <f t="shared" si="14"/>
        <v>-424.49653233707926</v>
      </c>
      <c r="AD28">
        <f t="shared" si="15"/>
        <v>0.21361610406132428</v>
      </c>
      <c r="AE28">
        <f t="shared" si="16"/>
        <v>2.0468328521771157</v>
      </c>
      <c r="AF28">
        <f t="shared" si="6"/>
        <v>1.8327637183514303</v>
      </c>
      <c r="AG28">
        <f t="shared" si="17"/>
        <v>2.8433522282522885</v>
      </c>
      <c r="AH28">
        <f t="shared" si="18"/>
        <v>-48.605341713182824</v>
      </c>
      <c r="AI28">
        <f t="shared" si="19"/>
        <v>-419.60634725664988</v>
      </c>
    </row>
    <row r="29" spans="1:35" x14ac:dyDescent="0.3">
      <c r="A29" s="3">
        <v>39631</v>
      </c>
      <c r="B29">
        <v>3288.52</v>
      </c>
      <c r="C29" s="7">
        <v>5.4169999999999996E-2</v>
      </c>
      <c r="D29" s="5">
        <v>318.7</v>
      </c>
      <c r="E29" s="5">
        <v>169.3</v>
      </c>
      <c r="F29" s="8">
        <v>0.2739861442797355</v>
      </c>
      <c r="G29" s="8">
        <v>0.2894130529223462</v>
      </c>
      <c r="H29">
        <f t="shared" si="0"/>
        <v>0.96438356164383565</v>
      </c>
      <c r="I29">
        <f t="shared" si="1"/>
        <v>0.96438356164383565</v>
      </c>
      <c r="J29" cm="1">
        <f t="array" ref="J29">BS_Delta("P",B29,$F$4,F29,H29,C29)</f>
        <v>-0.4188697560006428</v>
      </c>
      <c r="K29" cm="1">
        <f t="array" ref="K29">-BS_Delta("P",B29,$G$4,G29,I29,C29)</f>
        <v>0.25816863902312503</v>
      </c>
      <c r="L29">
        <f t="shared" si="2"/>
        <v>0.83929888302248223</v>
      </c>
      <c r="M29" cm="1">
        <f t="array" ref="M29">BS_Gamma(B29,$F$4,F29,H29,C29)</f>
        <v>4.4151913384992753E-4</v>
      </c>
      <c r="N29" cm="1">
        <f t="array" ref="N29">BS_Gamma(B29,$G$4,G29,I29,C29)</f>
        <v>3.4578285073445108E-4</v>
      </c>
      <c r="O29">
        <f t="shared" si="3"/>
        <v>9.5736283115476449E-5</v>
      </c>
      <c r="P29" cm="1">
        <f t="array" ref="P29">BS_Theta("P",B29,$F$4,F29,H29,C29)</f>
        <v>-87.335311498945927</v>
      </c>
      <c r="Q29" cm="1">
        <f t="array" ref="Q29">BS_Theta("P",B29,$G$4,G29,I29,C29)</f>
        <v>-101.44589822492617</v>
      </c>
      <c r="R29">
        <f t="shared" si="4"/>
        <v>14.110586725980241</v>
      </c>
      <c r="S29" cm="1">
        <f t="array" ref="S29">BS_Vega(B29,$F$4,F29,H29,C29)</f>
        <v>1261.6209839097278</v>
      </c>
      <c r="T29" cm="1">
        <f t="array" ref="T29">-BS_Vega(B29,$G$4,G29,I29,C29)</f>
        <v>-1043.6919623571339</v>
      </c>
      <c r="U29">
        <f t="shared" si="5"/>
        <v>217.92902155259389</v>
      </c>
      <c r="V29">
        <f t="shared" si="7"/>
        <v>-4.3400000000001455</v>
      </c>
      <c r="W29">
        <f t="shared" si="8"/>
        <v>-489.32999999999993</v>
      </c>
      <c r="X29" s="20">
        <f t="shared" si="9"/>
        <v>2</v>
      </c>
      <c r="Y29" s="20">
        <f t="shared" si="10"/>
        <v>1.1000000000000227</v>
      </c>
      <c r="Z29" s="20">
        <f t="shared" si="11"/>
        <v>-3.4400000000001683</v>
      </c>
      <c r="AA29" s="20">
        <f t="shared" si="12"/>
        <v>-425.42999999999984</v>
      </c>
      <c r="AB29">
        <f t="shared" si="13"/>
        <v>-3.6449095398347846</v>
      </c>
      <c r="AC29">
        <f t="shared" si="14"/>
        <v>-428.14144187691403</v>
      </c>
      <c r="AD29">
        <f t="shared" si="15"/>
        <v>3.8692729496040613E-2</v>
      </c>
      <c r="AE29">
        <f t="shared" si="16"/>
        <v>2.0855255816731564</v>
      </c>
      <c r="AF29">
        <f t="shared" si="6"/>
        <v>0.15936356147958658</v>
      </c>
      <c r="AG29">
        <f t="shared" si="17"/>
        <v>3.0027157897318753</v>
      </c>
      <c r="AH29">
        <f t="shared" si="18"/>
        <v>-3.4468532488591572</v>
      </c>
      <c r="AI29">
        <f t="shared" si="19"/>
        <v>-423.05320050550904</v>
      </c>
    </row>
    <row r="30" spans="1:35" x14ac:dyDescent="0.3">
      <c r="A30" s="3">
        <v>39632</v>
      </c>
      <c r="B30">
        <v>3330.9</v>
      </c>
      <c r="C30" s="7">
        <v>5.4320000000000007E-2</v>
      </c>
      <c r="D30" s="5">
        <v>299.10000000000002</v>
      </c>
      <c r="E30" s="5">
        <v>157.19999999999999</v>
      </c>
      <c r="F30" s="8">
        <v>0.27259481105569705</v>
      </c>
      <c r="G30" s="8">
        <v>0.28838970056420615</v>
      </c>
      <c r="H30">
        <f t="shared" si="0"/>
        <v>0.9616438356164384</v>
      </c>
      <c r="I30">
        <f t="shared" si="1"/>
        <v>0.9616438356164384</v>
      </c>
      <c r="J30" cm="1">
        <f t="array" ref="J30">BS_Delta("P",B30,$F$4,F30,H30,C30)</f>
        <v>-0.40042094132784101</v>
      </c>
      <c r="K30" cm="1">
        <f t="array" ref="K30">-BS_Delta("P",B30,$G$4,G30,I30,C30)</f>
        <v>0.24318800500876692</v>
      </c>
      <c r="L30">
        <f t="shared" si="2"/>
        <v>0.84276706368092591</v>
      </c>
      <c r="M30" cm="1">
        <f t="array" ref="M30">BS_Gamma(B30,$F$4,F30,H30,C30)</f>
        <v>4.3401608462499133E-4</v>
      </c>
      <c r="N30" cm="1">
        <f t="array" ref="N30">BS_Gamma(B30,$G$4,G30,I30,C30)</f>
        <v>3.3238889439844195E-4</v>
      </c>
      <c r="O30">
        <f t="shared" si="3"/>
        <v>1.0162719022654938E-4</v>
      </c>
      <c r="P30" cm="1">
        <f t="array" ref="P30">BS_Theta("P",B30,$F$4,F30,H30,C30)</f>
        <v>-90.212753549382285</v>
      </c>
      <c r="Q30" cm="1">
        <f t="array" ref="Q30">BS_Theta("P",B30,$G$4,G30,I30,C30)</f>
        <v>-100.81524029653248</v>
      </c>
      <c r="R30">
        <f t="shared" si="4"/>
        <v>10.602486747150195</v>
      </c>
      <c r="S30" cm="1">
        <f t="array" ref="S30">BS_Vega(B30,$F$4,F30,H30,C30)</f>
        <v>1262.2949665452497</v>
      </c>
      <c r="T30" cm="1">
        <f t="array" ref="T30">-BS_Vega(B30,$G$4,G30,I30,C30)</f>
        <v>-1022.7363505691126</v>
      </c>
      <c r="U30">
        <f t="shared" si="5"/>
        <v>239.55861597613716</v>
      </c>
      <c r="V30">
        <f t="shared" si="7"/>
        <v>42.380000000000109</v>
      </c>
      <c r="W30">
        <f t="shared" si="8"/>
        <v>-446.94999999999982</v>
      </c>
      <c r="X30" s="20">
        <f t="shared" si="9"/>
        <v>-19.599999999999966</v>
      </c>
      <c r="Y30" s="20">
        <f t="shared" si="10"/>
        <v>-12.100000000000023</v>
      </c>
      <c r="Z30" s="20">
        <f t="shared" si="11"/>
        <v>34.880000000000166</v>
      </c>
      <c r="AA30" s="20">
        <f t="shared" si="12"/>
        <v>-390.54999999999967</v>
      </c>
      <c r="AB30">
        <f t="shared" si="13"/>
        <v>35.569486662492892</v>
      </c>
      <c r="AC30">
        <f t="shared" si="14"/>
        <v>-392.57195521442111</v>
      </c>
      <c r="AD30">
        <f t="shared" si="15"/>
        <v>0.12463340666102897</v>
      </c>
      <c r="AE30">
        <f t="shared" si="16"/>
        <v>2.2101589883341854</v>
      </c>
      <c r="AF30">
        <f t="shared" si="6"/>
        <v>-0.68727056020769184</v>
      </c>
      <c r="AG30">
        <f t="shared" si="17"/>
        <v>2.3154452295241832</v>
      </c>
      <c r="AH30">
        <f t="shared" si="18"/>
        <v>35.006849508946225</v>
      </c>
      <c r="AI30">
        <f t="shared" si="19"/>
        <v>-388.04635099656281</v>
      </c>
    </row>
    <row r="31" spans="1:35" x14ac:dyDescent="0.3">
      <c r="A31" s="3">
        <v>39633</v>
      </c>
      <c r="B31">
        <v>3275.2</v>
      </c>
      <c r="C31" s="7">
        <v>5.3949999999999998E-2</v>
      </c>
      <c r="D31" s="5">
        <v>330.3</v>
      </c>
      <c r="E31" s="5">
        <v>176.2</v>
      </c>
      <c r="F31" s="8">
        <v>0.27883272302289186</v>
      </c>
      <c r="G31" s="8">
        <v>0.29300981528504166</v>
      </c>
      <c r="H31">
        <f t="shared" si="0"/>
        <v>0.95890410958904104</v>
      </c>
      <c r="I31">
        <f t="shared" si="1"/>
        <v>0.95890410958904104</v>
      </c>
      <c r="J31" cm="1">
        <f t="array" ref="J31">BS_Delta("P",B31,$F$4,F31,H31,C31)</f>
        <v>-0.42503563142734568</v>
      </c>
      <c r="K31" cm="1">
        <f t="array" ref="K31">-BS_Delta("P",B31,$G$4,G31,I31,C31)</f>
        <v>0.26446195441867903</v>
      </c>
      <c r="L31">
        <f t="shared" si="2"/>
        <v>0.83942632299133335</v>
      </c>
      <c r="M31" cm="1">
        <f t="array" ref="M31">BS_Gamma(B31,$F$4,F31,H31,C31)</f>
        <v>4.3820964937930294E-4</v>
      </c>
      <c r="N31" cm="1">
        <f t="array" ref="N31">BS_Gamma(B31,$G$4,G31,I31,C31)</f>
        <v>3.4818704259362927E-4</v>
      </c>
      <c r="O31">
        <f t="shared" si="3"/>
        <v>9.0022606785673668E-5</v>
      </c>
      <c r="P31" cm="1">
        <f t="array" ref="P31">BS_Theta("P",B31,$F$4,F31,H31,C31)</f>
        <v>-89.809972205008378</v>
      </c>
      <c r="Q31" cm="1">
        <f t="array" ref="Q31">BS_Theta("P",B31,$G$4,G31,I31,C31)</f>
        <v>-104.09724688556018</v>
      </c>
      <c r="R31">
        <f t="shared" si="4"/>
        <v>14.287274680551803</v>
      </c>
      <c r="S31" cm="1">
        <f t="array" ref="S31">BS_Vega(B31,$F$4,F31,H31,C31)</f>
        <v>1256.8299086688789</v>
      </c>
      <c r="T31" cm="1">
        <f t="array" ref="T31">-BS_Vega(B31,$G$4,G31,I31,C31)</f>
        <v>-1049.410981336039</v>
      </c>
      <c r="U31">
        <f t="shared" si="5"/>
        <v>207.41892733283998</v>
      </c>
      <c r="V31">
        <f t="shared" si="7"/>
        <v>-55.700000000000273</v>
      </c>
      <c r="W31">
        <f t="shared" si="8"/>
        <v>-502.65000000000009</v>
      </c>
      <c r="X31" s="20">
        <f t="shared" si="9"/>
        <v>31.199999999999989</v>
      </c>
      <c r="Y31" s="20">
        <f t="shared" si="10"/>
        <v>19</v>
      </c>
      <c r="Z31" s="20">
        <f t="shared" si="11"/>
        <v>-43.500000000000284</v>
      </c>
      <c r="AA31" s="20">
        <f t="shared" si="12"/>
        <v>-434.04999999999995</v>
      </c>
      <c r="AB31">
        <f t="shared" si="13"/>
        <v>-46.942125447027806</v>
      </c>
      <c r="AC31">
        <f t="shared" si="14"/>
        <v>-439.51408066144893</v>
      </c>
      <c r="AD31">
        <f t="shared" si="15"/>
        <v>0.18669657959928704</v>
      </c>
      <c r="AE31">
        <f t="shared" si="16"/>
        <v>2.3968555679334727</v>
      </c>
      <c r="AF31">
        <f t="shared" si="6"/>
        <v>3.14892560914444</v>
      </c>
      <c r="AG31">
        <f t="shared" si="17"/>
        <v>5.4643708386686232</v>
      </c>
      <c r="AH31">
        <f t="shared" si="18"/>
        <v>-43.606503258284079</v>
      </c>
      <c r="AI31">
        <f t="shared" si="19"/>
        <v>-431.65285425484689</v>
      </c>
    </row>
    <row r="32" spans="1:35" x14ac:dyDescent="0.3">
      <c r="A32" s="3">
        <v>39636</v>
      </c>
      <c r="B32">
        <v>3332.66</v>
      </c>
      <c r="C32" s="7">
        <v>5.3929999999999999E-2</v>
      </c>
      <c r="D32" s="5">
        <v>301</v>
      </c>
      <c r="E32" s="5">
        <v>158.1</v>
      </c>
      <c r="F32" s="8">
        <v>0.27497824014516858</v>
      </c>
      <c r="G32" s="8">
        <v>0.29043271235305623</v>
      </c>
      <c r="H32">
        <f t="shared" si="0"/>
        <v>0.9506849315068493</v>
      </c>
      <c r="I32">
        <f t="shared" si="1"/>
        <v>0.9506849315068493</v>
      </c>
      <c r="J32" cm="1">
        <f t="array" ref="J32">BS_Delta("P",B32,$F$4,F32,H32,C32)</f>
        <v>-0.40103436597430964</v>
      </c>
      <c r="K32" cm="1">
        <f t="array" ref="K32">-BS_Delta("P",B32,$G$4,G32,I32,C32)</f>
        <v>0.24384427940341569</v>
      </c>
      <c r="L32">
        <f t="shared" si="2"/>
        <v>0.84280991342910605</v>
      </c>
      <c r="M32" cm="1">
        <f t="array" ref="M32">BS_Gamma(B32,$F$4,F32,H32,C32)</f>
        <v>4.3267101787381292E-4</v>
      </c>
      <c r="N32" cm="1">
        <f t="array" ref="N32">BS_Gamma(B32,$G$4,G32,I32,C32)</f>
        <v>3.3225562655458154E-4</v>
      </c>
      <c r="O32">
        <f t="shared" si="3"/>
        <v>1.0041539131923138E-4</v>
      </c>
      <c r="P32" cm="1">
        <f t="array" ref="P32">BS_Theta("P",B32,$F$4,F32,H32,C32)</f>
        <v>-93.36875487818979</v>
      </c>
      <c r="Q32" cm="1">
        <f t="array" ref="Q32">BS_Theta("P",B32,$G$4,G32,I32,C32)</f>
        <v>-103.28537189524702</v>
      </c>
      <c r="R32">
        <f t="shared" si="4"/>
        <v>9.9166170170572343</v>
      </c>
      <c r="S32" cm="1">
        <f t="array" ref="S32">BS_Vega(B32,$F$4,F32,H32,C32)</f>
        <v>1256.2462016996442</v>
      </c>
      <c r="T32" cm="1">
        <f t="array" ref="T32">-BS_Vega(B32,$G$4,G32,I32,C32)</f>
        <v>-1018.9115919346224</v>
      </c>
      <c r="U32">
        <f t="shared" si="5"/>
        <v>237.33460976502181</v>
      </c>
      <c r="V32">
        <f t="shared" si="7"/>
        <v>57.460000000000036</v>
      </c>
      <c r="W32">
        <f t="shared" si="8"/>
        <v>-445.19000000000005</v>
      </c>
      <c r="X32" s="20">
        <f t="shared" si="9"/>
        <v>-29.300000000000011</v>
      </c>
      <c r="Y32" s="20">
        <f t="shared" si="10"/>
        <v>-18.099999999999994</v>
      </c>
      <c r="Z32" s="20">
        <f t="shared" si="11"/>
        <v>46.260000000000019</v>
      </c>
      <c r="AA32" s="20">
        <f t="shared" si="12"/>
        <v>-387.78999999999996</v>
      </c>
      <c r="AB32">
        <f t="shared" si="13"/>
        <v>48.233436519082048</v>
      </c>
      <c r="AC32">
        <f t="shared" si="14"/>
        <v>-391.2806441423669</v>
      </c>
      <c r="AD32">
        <f t="shared" si="15"/>
        <v>0.26604129677369032</v>
      </c>
      <c r="AE32">
        <f t="shared" si="16"/>
        <v>2.6628968647071631</v>
      </c>
      <c r="AF32">
        <f t="shared" si="6"/>
        <v>-2.1399892463158872</v>
      </c>
      <c r="AG32">
        <f t="shared" si="17"/>
        <v>3.324381592352736</v>
      </c>
      <c r="AH32">
        <f t="shared" si="18"/>
        <v>46.359488569539856</v>
      </c>
      <c r="AI32">
        <f t="shared" si="19"/>
        <v>-385.29336568530704</v>
      </c>
    </row>
    <row r="33" spans="1:35" x14ac:dyDescent="0.3">
      <c r="A33" s="3">
        <v>39637</v>
      </c>
      <c r="B33">
        <v>3287.6</v>
      </c>
      <c r="C33" s="7">
        <v>5.3789999999999998E-2</v>
      </c>
      <c r="D33" s="5">
        <v>325.5</v>
      </c>
      <c r="E33" s="5">
        <v>173.2</v>
      </c>
      <c r="F33" s="8">
        <v>0.2797756864463532</v>
      </c>
      <c r="G33" s="8">
        <v>0.29420586613898136</v>
      </c>
      <c r="H33">
        <f t="shared" si="0"/>
        <v>0.94794520547945205</v>
      </c>
      <c r="I33">
        <f t="shared" si="1"/>
        <v>0.94794520547945205</v>
      </c>
      <c r="J33" cm="1">
        <f t="array" ref="J33">BS_Delta("P",B33,$F$4,F33,H33,C33)</f>
        <v>-0.42075035993633658</v>
      </c>
      <c r="K33" cm="1">
        <f t="array" ref="K33">-BS_Delta("P",B33,$G$4,G33,I33,C33)</f>
        <v>0.2608189268764276</v>
      </c>
      <c r="L33">
        <f t="shared" si="2"/>
        <v>0.84006856694009102</v>
      </c>
      <c r="M33" cm="1">
        <f t="array" ref="M33">BS_Gamma(B33,$F$4,F33,H33,C33)</f>
        <v>4.3666245661089063E-4</v>
      </c>
      <c r="N33" cm="1">
        <f t="array" ref="N33">BS_Gamma(B33,$G$4,G33,I33,C33)</f>
        <v>3.4499739160116013E-4</v>
      </c>
      <c r="O33">
        <f t="shared" si="3"/>
        <v>9.1665065009730506E-5</v>
      </c>
      <c r="P33" cm="1">
        <f t="array" ref="P33">BS_Theta("P",B33,$F$4,F33,H33,C33)</f>
        <v>-92.797277345317099</v>
      </c>
      <c r="Q33" cm="1">
        <f t="array" ref="Q33">BS_Theta("P",B33,$G$4,G33,I33,C33)</f>
        <v>-105.93912715233904</v>
      </c>
      <c r="R33">
        <f t="shared" si="4"/>
        <v>13.141849807021941</v>
      </c>
      <c r="S33" cm="1">
        <f t="array" ref="S33">BS_Vega(B33,$F$4,F33,H33,C33)</f>
        <v>1251.6906312381186</v>
      </c>
      <c r="T33" cm="1">
        <f t="array" ref="T33">-BS_Vega(B33,$G$4,G33,I33,C33)</f>
        <v>-1039.9400817377993</v>
      </c>
      <c r="U33">
        <f t="shared" si="5"/>
        <v>211.75054950031927</v>
      </c>
      <c r="V33">
        <f t="shared" si="7"/>
        <v>-45.059999999999945</v>
      </c>
      <c r="W33">
        <f t="shared" si="8"/>
        <v>-490.25</v>
      </c>
      <c r="X33" s="20">
        <f t="shared" si="9"/>
        <v>24.5</v>
      </c>
      <c r="Y33" s="20">
        <f t="shared" si="10"/>
        <v>15.099999999999994</v>
      </c>
      <c r="Z33" s="20">
        <f t="shared" si="11"/>
        <v>-35.65999999999994</v>
      </c>
      <c r="AA33" s="20">
        <f t="shared" si="12"/>
        <v>-423.44999999999993</v>
      </c>
      <c r="AB33">
        <f t="shared" si="13"/>
        <v>-37.977014699115472</v>
      </c>
      <c r="AC33">
        <f t="shared" si="14"/>
        <v>-429.25765884148234</v>
      </c>
      <c r="AD33">
        <f t="shared" si="15"/>
        <v>0.12911069976035011</v>
      </c>
      <c r="AE33">
        <f t="shared" si="16"/>
        <v>2.7920075644675131</v>
      </c>
      <c r="AF33">
        <f t="shared" si="6"/>
        <v>2.1822635630900571</v>
      </c>
      <c r="AG33">
        <f t="shared" si="17"/>
        <v>5.5066451554427935</v>
      </c>
      <c r="AH33">
        <f t="shared" si="18"/>
        <v>-35.665640436265065</v>
      </c>
      <c r="AI33">
        <f t="shared" si="19"/>
        <v>-420.95900612157209</v>
      </c>
    </row>
    <row r="34" spans="1:35" x14ac:dyDescent="0.3">
      <c r="A34" s="3">
        <v>39638</v>
      </c>
      <c r="B34">
        <v>3342.48</v>
      </c>
      <c r="C34" s="7">
        <v>5.3960000000000001E-2</v>
      </c>
      <c r="D34" s="5">
        <v>294.60000000000002</v>
      </c>
      <c r="E34" s="5">
        <v>154</v>
      </c>
      <c r="F34" s="8">
        <v>0.27344667374392151</v>
      </c>
      <c r="G34" s="8">
        <v>0.28931731163410818</v>
      </c>
      <c r="H34">
        <f t="shared" si="0"/>
        <v>0.9452054794520548</v>
      </c>
      <c r="I34">
        <f t="shared" si="1"/>
        <v>0.9452054794520548</v>
      </c>
      <c r="J34" cm="1">
        <f t="array" ref="J34">BS_Delta("P",B34,$F$4,F34,H34,C34)</f>
        <v>-0.39720266944485849</v>
      </c>
      <c r="K34" cm="1">
        <f t="array" ref="K34">-BS_Delta("P",B34,$G$4,G34,I34,C34)</f>
        <v>0.2400057003506062</v>
      </c>
      <c r="L34">
        <f t="shared" si="2"/>
        <v>0.84280303090574771</v>
      </c>
      <c r="M34" cm="1">
        <f t="array" ref="M34">BS_Gamma(B34,$F$4,F34,H34,C34)</f>
        <v>4.3396943722542777E-4</v>
      </c>
      <c r="N34" cm="1">
        <f t="array" ref="N34">BS_Gamma(B34,$G$4,G34,I34,C34)</f>
        <v>3.3066067300672715E-4</v>
      </c>
      <c r="O34">
        <f t="shared" si="3"/>
        <v>1.0330876421870062E-4</v>
      </c>
      <c r="P34" cm="1">
        <f t="array" ref="P34">BS_Theta("P",B34,$F$4,F34,H34,C34)</f>
        <v>-93.728037462313281</v>
      </c>
      <c r="Q34" cm="1">
        <f t="array" ref="Q34">BS_Theta("P",B34,$G$4,G34,I34,C34)</f>
        <v>-103.01319367141444</v>
      </c>
      <c r="R34">
        <f t="shared" si="4"/>
        <v>9.2851562091011601</v>
      </c>
      <c r="S34" cm="1">
        <f t="array" ref="S34">BS_Vega(B34,$F$4,F34,H34,C34)</f>
        <v>1253.1286378218661</v>
      </c>
      <c r="T34" cm="1">
        <f t="array" ref="T34">-BS_Vega(B34,$G$4,G34,I34,C34)</f>
        <v>-1010.2313264661467</v>
      </c>
      <c r="U34">
        <f t="shared" si="5"/>
        <v>242.89731135571935</v>
      </c>
      <c r="V34">
        <f t="shared" si="7"/>
        <v>54.880000000000109</v>
      </c>
      <c r="W34">
        <f t="shared" si="8"/>
        <v>-435.36999999999989</v>
      </c>
      <c r="X34" s="20">
        <f t="shared" si="9"/>
        <v>-30.899999999999977</v>
      </c>
      <c r="Y34" s="20">
        <f t="shared" si="10"/>
        <v>-19.199999999999989</v>
      </c>
      <c r="Z34" s="20">
        <f t="shared" si="11"/>
        <v>43.180000000000121</v>
      </c>
      <c r="AA34" s="20">
        <f t="shared" si="12"/>
        <v>-380.26999999999981</v>
      </c>
      <c r="AB34">
        <f t="shared" si="13"/>
        <v>46.102962953672289</v>
      </c>
      <c r="AC34">
        <f t="shared" si="14"/>
        <v>-383.15469588781002</v>
      </c>
      <c r="AD34">
        <f t="shared" si="15"/>
        <v>0.17404414935106546</v>
      </c>
      <c r="AE34">
        <f t="shared" si="16"/>
        <v>2.9660517138185787</v>
      </c>
      <c r="AF34">
        <f t="shared" si="6"/>
        <v>-2.8381621332432836</v>
      </c>
      <c r="AG34">
        <f t="shared" si="17"/>
        <v>2.6684830221995099</v>
      </c>
      <c r="AH34">
        <f t="shared" si="18"/>
        <v>43.438844969780078</v>
      </c>
      <c r="AI34">
        <f t="shared" si="19"/>
        <v>-377.52016115179202</v>
      </c>
    </row>
    <row r="35" spans="1:35" x14ac:dyDescent="0.3">
      <c r="A35" s="3">
        <v>39639</v>
      </c>
      <c r="B35">
        <v>3283.01</v>
      </c>
      <c r="C35" s="7">
        <v>5.3840000000000006E-2</v>
      </c>
      <c r="D35" s="5">
        <v>331.3</v>
      </c>
      <c r="E35" s="5">
        <v>176.4</v>
      </c>
      <c r="F35" s="8">
        <v>0.2833442136271645</v>
      </c>
      <c r="G35" s="8">
        <v>0.29673551827088723</v>
      </c>
      <c r="H35">
        <f t="shared" si="0"/>
        <v>0.94246575342465755</v>
      </c>
      <c r="I35">
        <f t="shared" si="1"/>
        <v>0.94246575342465755</v>
      </c>
      <c r="J35" cm="1">
        <f t="array" ref="J35">BS_Delta("P",B35,$F$4,F35,H35,C35)</f>
        <v>-0.42280902260838926</v>
      </c>
      <c r="K35" cm="1">
        <f t="array" ref="K35">-BS_Delta("P",B35,$G$4,G35,I35,C35)</f>
        <v>0.26332871313630701</v>
      </c>
      <c r="L35">
        <f t="shared" si="2"/>
        <v>0.84051969052791775</v>
      </c>
      <c r="M35" cm="1">
        <f t="array" ref="M35">BS_Gamma(B35,$F$4,F35,H35,C35)</f>
        <v>4.3346898724605867E-4</v>
      </c>
      <c r="N35" cm="1">
        <f t="array" ref="N35">BS_Gamma(B35,$G$4,G35,I35,C35)</f>
        <v>3.4521919682365082E-4</v>
      </c>
      <c r="O35">
        <f t="shared" si="3"/>
        <v>8.8249790422407852E-5</v>
      </c>
      <c r="P35" cm="1">
        <f t="array" ref="P35">BS_Theta("P",B35,$F$4,F35,H35,C35)</f>
        <v>-94.971366907376478</v>
      </c>
      <c r="Q35" cm="1">
        <f t="array" ref="Q35">BS_Theta("P",B35,$G$4,G35,I35,C35)</f>
        <v>-107.77038356253178</v>
      </c>
      <c r="R35">
        <f t="shared" si="4"/>
        <v>12.799016655155299</v>
      </c>
      <c r="S35" cm="1">
        <f t="array" ref="S35">BS_Vega(B35,$F$4,F35,H35,C35)</f>
        <v>1247.6201158321262</v>
      </c>
      <c r="T35" cm="1">
        <f t="array" ref="T35">-BS_Vega(B35,$G$4,G35,I35,C35)</f>
        <v>-1040.5775696438041</v>
      </c>
      <c r="U35">
        <f t="shared" si="5"/>
        <v>207.04254618832215</v>
      </c>
      <c r="V35">
        <f t="shared" si="7"/>
        <v>-59.4699999999998</v>
      </c>
      <c r="W35">
        <f t="shared" si="8"/>
        <v>-494.83999999999969</v>
      </c>
      <c r="X35" s="20">
        <f t="shared" si="9"/>
        <v>36.699999999999989</v>
      </c>
      <c r="Y35" s="20">
        <f t="shared" si="10"/>
        <v>22.400000000000006</v>
      </c>
      <c r="Z35" s="20">
        <f t="shared" si="11"/>
        <v>-45.169999999999817</v>
      </c>
      <c r="AA35" s="20">
        <f t="shared" si="12"/>
        <v>-425.4399999999996</v>
      </c>
      <c r="AB35">
        <f t="shared" si="13"/>
        <v>-50.12149624796465</v>
      </c>
      <c r="AC35">
        <f t="shared" si="14"/>
        <v>-433.27619213577469</v>
      </c>
      <c r="AD35">
        <f t="shared" si="15"/>
        <v>0.20812385074196343</v>
      </c>
      <c r="AE35">
        <f t="shared" si="16"/>
        <v>3.1741755645605423</v>
      </c>
      <c r="AF35">
        <f t="shared" si="6"/>
        <v>4.9087859410025994</v>
      </c>
      <c r="AG35">
        <f t="shared" si="17"/>
        <v>7.5772689632021093</v>
      </c>
      <c r="AH35">
        <f t="shared" si="18"/>
        <v>-45.004586456220089</v>
      </c>
      <c r="AI35">
        <f t="shared" si="19"/>
        <v>-422.52474760801209</v>
      </c>
    </row>
    <row r="36" spans="1:35" x14ac:dyDescent="0.3">
      <c r="A36" s="3">
        <v>39640</v>
      </c>
      <c r="B36">
        <v>3197.78</v>
      </c>
      <c r="C36" s="7">
        <v>5.3879999999999997E-2</v>
      </c>
      <c r="D36" s="5">
        <v>376.7</v>
      </c>
      <c r="E36" s="5">
        <v>205.6</v>
      </c>
      <c r="F36" s="8">
        <v>0.28990486511893987</v>
      </c>
      <c r="G36" s="8">
        <v>0.30216407943483675</v>
      </c>
      <c r="H36">
        <f t="shared" si="0"/>
        <v>0.9397260273972603</v>
      </c>
      <c r="I36">
        <f t="shared" si="1"/>
        <v>0.9397260273972603</v>
      </c>
      <c r="J36" cm="1">
        <f t="array" ref="J36">BS_Delta("P",B36,$F$4,F36,H36,C36)</f>
        <v>-0.45918332436083475</v>
      </c>
      <c r="K36" cm="1">
        <f t="array" ref="K36">-BS_Delta("P",B36,$G$4,G36,I36,C36)</f>
        <v>0.29553841643169831</v>
      </c>
      <c r="L36">
        <f t="shared" si="2"/>
        <v>0.83635509207086356</v>
      </c>
      <c r="M36" cm="1">
        <f t="array" ref="M36">BS_Gamma(B36,$F$4,F36,H36,C36)</f>
        <v>4.4159518829309902E-4</v>
      </c>
      <c r="N36" cm="1">
        <f t="array" ref="N36">BS_Gamma(B36,$G$4,G36,I36,C36)</f>
        <v>3.6866766982018292E-4</v>
      </c>
      <c r="O36">
        <f t="shared" si="3"/>
        <v>7.2927518472916104E-5</v>
      </c>
      <c r="P36" cm="1">
        <f t="array" ref="P36">BS_Theta("P",B36,$F$4,F36,H36,C36)</f>
        <v>-90.346831189786087</v>
      </c>
      <c r="Q36" cm="1">
        <f t="array" ref="Q36">BS_Theta("P",B36,$G$4,G36,I36,C36)</f>
        <v>-110.10485355597734</v>
      </c>
      <c r="R36">
        <f t="shared" si="4"/>
        <v>19.758022366191256</v>
      </c>
      <c r="S36" cm="1">
        <f t="array" ref="S36">BS_Vega(B36,$F$4,F36,H36,C36)</f>
        <v>1230.2071752862571</v>
      </c>
      <c r="T36" cm="1">
        <f t="array" ref="T36">-BS_Vega(B36,$G$4,G36,I36,C36)</f>
        <v>-1070.4744563929166</v>
      </c>
      <c r="U36">
        <f t="shared" si="5"/>
        <v>159.73271889334046</v>
      </c>
      <c r="V36">
        <f t="shared" si="7"/>
        <v>-85.230000000000018</v>
      </c>
      <c r="W36">
        <f t="shared" si="8"/>
        <v>-580.06999999999971</v>
      </c>
      <c r="X36" s="20">
        <f t="shared" si="9"/>
        <v>45.399999999999977</v>
      </c>
      <c r="Y36" s="20">
        <f t="shared" si="10"/>
        <v>29.199999999999989</v>
      </c>
      <c r="Z36" s="20">
        <f t="shared" si="11"/>
        <v>-69.03000000000003</v>
      </c>
      <c r="AA36" s="20">
        <f t="shared" si="12"/>
        <v>-494.46999999999963</v>
      </c>
      <c r="AB36">
        <f t="shared" si="13"/>
        <v>-71.637493223694449</v>
      </c>
      <c r="AC36">
        <f t="shared" si="14"/>
        <v>-504.91368535946913</v>
      </c>
      <c r="AD36">
        <f t="shared" si="15"/>
        <v>0.35559578456588326</v>
      </c>
      <c r="AE36">
        <f t="shared" si="16"/>
        <v>3.5297713491264258</v>
      </c>
      <c r="AF36">
        <f t="shared" si="6"/>
        <v>2.5363617914576695</v>
      </c>
      <c r="AG36">
        <f t="shared" si="17"/>
        <v>10.113630754659779</v>
      </c>
      <c r="AH36">
        <f t="shared" si="18"/>
        <v>-68.745535647670906</v>
      </c>
      <c r="AI36">
        <f t="shared" si="19"/>
        <v>-491.27028325568301</v>
      </c>
    </row>
    <row r="37" spans="1:35" x14ac:dyDescent="0.3">
      <c r="A37" s="3">
        <v>39643</v>
      </c>
      <c r="B37">
        <v>3216.24</v>
      </c>
      <c r="C37" s="7">
        <v>5.3840000000000006E-2</v>
      </c>
      <c r="D37" s="5">
        <v>362.3</v>
      </c>
      <c r="E37" s="5">
        <v>195.3</v>
      </c>
      <c r="F37" s="8">
        <v>0.28559143898769124</v>
      </c>
      <c r="G37" s="8">
        <v>0.29835374243639845</v>
      </c>
      <c r="H37">
        <f t="shared" si="0"/>
        <v>0.93150684931506844</v>
      </c>
      <c r="I37">
        <f t="shared" si="1"/>
        <v>0.93150684931506844</v>
      </c>
      <c r="J37" cm="1">
        <f t="array" ref="J37">BS_Delta("P",B37,$F$4,F37,H37,C37)</f>
        <v>-0.45295814988393757</v>
      </c>
      <c r="K37" cm="1">
        <f t="array" ref="K37">-BS_Delta("P",B37,$G$4,G37,I37,C37)</f>
        <v>0.28779032211731104</v>
      </c>
      <c r="L37">
        <f t="shared" si="2"/>
        <v>0.83483217223337347</v>
      </c>
      <c r="M37" cm="1">
        <f t="array" ref="M37">BS_Gamma(B37,$F$4,F37,H37,C37)</f>
        <v>4.4687910680851176E-4</v>
      </c>
      <c r="N37" cm="1">
        <f t="array" ref="N37">BS_Gamma(B37,$G$4,G37,I37,C37)</f>
        <v>3.6827802520900983E-4</v>
      </c>
      <c r="O37">
        <f t="shared" si="3"/>
        <v>7.8601081599501924E-5</v>
      </c>
      <c r="P37" cm="1">
        <f t="array" ref="P37">BS_Theta("P",B37,$F$4,F37,H37,C37)</f>
        <v>-90.57407686497622</v>
      </c>
      <c r="Q37" cm="1">
        <f t="array" ref="Q37">BS_Theta("P",B37,$G$4,G37,I37,C37)</f>
        <v>-109.20367781678603</v>
      </c>
      <c r="R37">
        <f t="shared" si="4"/>
        <v>18.629600951809806</v>
      </c>
      <c r="S37" cm="1">
        <f t="array" ref="S37">BS_Vega(B37,$F$4,F37,H37,C37)</f>
        <v>1229.7538345090422</v>
      </c>
      <c r="T37" cm="1">
        <f t="array" ref="T37">-BS_Vega(B37,$G$4,G37,I37,C37)</f>
        <v>-1058.7422539473148</v>
      </c>
      <c r="U37">
        <f t="shared" si="5"/>
        <v>171.01158056172744</v>
      </c>
      <c r="V37">
        <f t="shared" si="7"/>
        <v>18.459999999999582</v>
      </c>
      <c r="W37">
        <f t="shared" si="8"/>
        <v>-561.61000000000013</v>
      </c>
      <c r="X37" s="20">
        <f t="shared" si="9"/>
        <v>-14.399999999999977</v>
      </c>
      <c r="Y37" s="20">
        <f t="shared" si="10"/>
        <v>-10.299999999999983</v>
      </c>
      <c r="Z37" s="20">
        <f t="shared" si="11"/>
        <v>14.359999999999587</v>
      </c>
      <c r="AA37" s="20">
        <f t="shared" si="12"/>
        <v>-480.11</v>
      </c>
      <c r="AB37">
        <f t="shared" si="13"/>
        <v>15.439114999627792</v>
      </c>
      <c r="AC37">
        <f t="shared" si="14"/>
        <v>-489.47457035984132</v>
      </c>
      <c r="AD37">
        <f t="shared" si="15"/>
        <v>0.17482051795667616</v>
      </c>
      <c r="AE37">
        <f t="shared" si="16"/>
        <v>3.704591867083102</v>
      </c>
      <c r="AF37">
        <f t="shared" si="6"/>
        <v>-1.2275393496522486</v>
      </c>
      <c r="AG37">
        <f t="shared" si="17"/>
        <v>8.8860914050075301</v>
      </c>
      <c r="AH37">
        <f t="shared" si="18"/>
        <v>14.386396167932219</v>
      </c>
      <c r="AI37">
        <f t="shared" si="19"/>
        <v>-476.88388708775079</v>
      </c>
    </row>
    <row r="38" spans="1:35" x14ac:dyDescent="0.3">
      <c r="A38" s="3">
        <v>39644</v>
      </c>
      <c r="B38">
        <v>3142.73</v>
      </c>
      <c r="C38" s="7">
        <v>5.3739999999999996E-2</v>
      </c>
      <c r="D38" s="5">
        <v>402.2</v>
      </c>
      <c r="E38" s="5">
        <v>220.4</v>
      </c>
      <c r="F38" s="8">
        <v>0.2900868002745301</v>
      </c>
      <c r="G38" s="8">
        <v>0.30123925306645927</v>
      </c>
      <c r="H38">
        <f t="shared" si="0"/>
        <v>0.92876712328767119</v>
      </c>
      <c r="I38">
        <f t="shared" si="1"/>
        <v>0.92876712328767119</v>
      </c>
      <c r="J38" cm="1">
        <f t="array" ref="J38">BS_Delta("P",B38,$F$4,F38,H38,C38)</f>
        <v>-0.48529593490403278</v>
      </c>
      <c r="K38" cm="1">
        <f t="array" ref="K38">-BS_Delta("P",B38,$G$4,G38,I38,C38)</f>
        <v>0.31661580455918314</v>
      </c>
      <c r="L38">
        <f t="shared" si="2"/>
        <v>0.83131986965515037</v>
      </c>
      <c r="M38" cm="1">
        <f t="array" ref="M38">BS_Gamma(B38,$F$4,F38,H38,C38)</f>
        <v>4.5376028836319199E-4</v>
      </c>
      <c r="N38" cm="1">
        <f t="array" ref="N38">BS_Gamma(B38,$G$4,G38,I38,C38)</f>
        <v>3.9020492239629059E-4</v>
      </c>
      <c r="O38">
        <f t="shared" si="3"/>
        <v>6.3555365966901393E-5</v>
      </c>
      <c r="P38" cm="1">
        <f t="array" ref="P38">BS_Theta("P",B38,$F$4,F38,H38,C38)</f>
        <v>-84.991371228698739</v>
      </c>
      <c r="Q38" cm="1">
        <f t="array" ref="Q38">BS_Theta("P",B38,$G$4,G38,I38,C38)</f>
        <v>-109.54620395040621</v>
      </c>
      <c r="R38">
        <f t="shared" si="4"/>
        <v>24.55483272170747</v>
      </c>
      <c r="S38" cm="1">
        <f t="array" ref="S38">BS_Vega(B38,$F$4,F38,H38,C38)</f>
        <v>1207.4674414760407</v>
      </c>
      <c r="T38" cm="1">
        <f t="array" ref="T38">-BS_Vega(B38,$G$4,G38,I38,C38)</f>
        <v>-1078.2644379027761</v>
      </c>
      <c r="U38">
        <f t="shared" si="5"/>
        <v>129.2030035732646</v>
      </c>
      <c r="V38">
        <f t="shared" si="7"/>
        <v>-73.509999999999764</v>
      </c>
      <c r="W38">
        <f t="shared" si="8"/>
        <v>-635.11999999999989</v>
      </c>
      <c r="X38" s="20">
        <f t="shared" si="9"/>
        <v>39.899999999999977</v>
      </c>
      <c r="Y38" s="20">
        <f t="shared" si="10"/>
        <v>25.099999999999994</v>
      </c>
      <c r="Z38" s="20">
        <f t="shared" si="11"/>
        <v>-58.709999999999781</v>
      </c>
      <c r="AA38" s="20">
        <f t="shared" si="12"/>
        <v>-538.81999999999982</v>
      </c>
      <c r="AB38">
        <f t="shared" si="13"/>
        <v>-61.368512980875089</v>
      </c>
      <c r="AC38">
        <f t="shared" si="14"/>
        <v>-550.84308334071636</v>
      </c>
      <c r="AD38">
        <f t="shared" si="15"/>
        <v>0.26340912486818108</v>
      </c>
      <c r="AE38">
        <f t="shared" si="16"/>
        <v>3.9680009919512829</v>
      </c>
      <c r="AF38">
        <f t="shared" si="6"/>
        <v>2.4731757517340665</v>
      </c>
      <c r="AG38">
        <f t="shared" si="17"/>
        <v>11.359267156741597</v>
      </c>
      <c r="AH38">
        <f t="shared" si="18"/>
        <v>-58.631928104272838</v>
      </c>
      <c r="AI38">
        <f t="shared" si="19"/>
        <v>-535.51581519202364</v>
      </c>
    </row>
    <row r="39" spans="1:35" x14ac:dyDescent="0.3">
      <c r="A39" s="3">
        <v>39645</v>
      </c>
      <c r="B39">
        <v>3174.76</v>
      </c>
      <c r="C39" s="7">
        <v>5.3689999999999995E-2</v>
      </c>
      <c r="D39" s="5">
        <v>385.3</v>
      </c>
      <c r="E39" s="5">
        <v>208.6</v>
      </c>
      <c r="F39" s="8">
        <v>0.28890979680940609</v>
      </c>
      <c r="G39" s="8">
        <v>0.29973415524622182</v>
      </c>
      <c r="H39">
        <f t="shared" si="0"/>
        <v>0.92602739726027394</v>
      </c>
      <c r="I39">
        <f t="shared" si="1"/>
        <v>0.92602739726027394</v>
      </c>
      <c r="J39" cm="1">
        <f t="array" ref="J39">BS_Delta("P",B39,$F$4,F39,H39,C39)</f>
        <v>-0.47158020273822943</v>
      </c>
      <c r="K39" cm="1">
        <f t="array" ref="K39">-BS_Delta("P",B39,$G$4,G39,I39,C39)</f>
        <v>0.30401403769025592</v>
      </c>
      <c r="L39">
        <f t="shared" si="2"/>
        <v>0.8324338349520265</v>
      </c>
      <c r="M39" cm="1">
        <f t="array" ref="M39">BS_Gamma(B39,$F$4,F39,H39,C39)</f>
        <v>4.5083863360254273E-4</v>
      </c>
      <c r="N39" cm="1">
        <f t="array" ref="N39">BS_Gamma(B39,$G$4,G39,I39,C39)</f>
        <v>3.8196980627435242E-4</v>
      </c>
      <c r="O39">
        <f t="shared" si="3"/>
        <v>6.8868827328190309E-5</v>
      </c>
      <c r="P39" cm="1">
        <f t="array" ref="P39">BS_Theta("P",B39,$F$4,F39,H39,C39)</f>
        <v>-88.574330323095282</v>
      </c>
      <c r="Q39" cm="1">
        <f t="array" ref="Q39">BS_Theta("P",B39,$G$4,G39,I39,C39)</f>
        <v>-109.9193473342295</v>
      </c>
      <c r="R39">
        <f t="shared" si="4"/>
        <v>21.345017011134217</v>
      </c>
      <c r="S39" cm="1">
        <f t="array" ref="S39">BS_Vega(B39,$F$4,F39,H39,C39)</f>
        <v>1215.7073129958737</v>
      </c>
      <c r="T39" cm="1">
        <f t="array" ref="T39">-BS_Vega(B39,$G$4,G39,I39,C39)</f>
        <v>-1068.589504474073</v>
      </c>
      <c r="U39">
        <f t="shared" si="5"/>
        <v>147.11780852180073</v>
      </c>
      <c r="V39">
        <f t="shared" si="7"/>
        <v>32.0300000000002</v>
      </c>
      <c r="W39">
        <f t="shared" si="8"/>
        <v>-603.08999999999969</v>
      </c>
      <c r="X39" s="20">
        <f t="shared" si="9"/>
        <v>-16.899999999999977</v>
      </c>
      <c r="Y39" s="20">
        <f t="shared" si="10"/>
        <v>-11.800000000000011</v>
      </c>
      <c r="Z39" s="20">
        <f t="shared" si="11"/>
        <v>26.930000000000234</v>
      </c>
      <c r="AA39" s="20">
        <f t="shared" si="12"/>
        <v>-511.88999999999959</v>
      </c>
      <c r="AB39">
        <f t="shared" si="13"/>
        <v>26.627175425054631</v>
      </c>
      <c r="AC39">
        <f t="shared" si="14"/>
        <v>-524.21590791566177</v>
      </c>
      <c r="AD39">
        <f t="shared" si="15"/>
        <v>9.9874903432344689E-2</v>
      </c>
      <c r="AE39">
        <f t="shared" si="16"/>
        <v>4.0678758953836276</v>
      </c>
      <c r="AF39">
        <f t="shared" si="6"/>
        <v>0.20170009248530518</v>
      </c>
      <c r="AG39">
        <f t="shared" si="17"/>
        <v>11.560967249226902</v>
      </c>
      <c r="AH39">
        <f t="shared" si="18"/>
        <v>26.928750420972278</v>
      </c>
      <c r="AI39">
        <f t="shared" si="19"/>
        <v>-508.58706477105136</v>
      </c>
    </row>
    <row r="40" spans="1:35" x14ac:dyDescent="0.3">
      <c r="A40" s="3">
        <v>39646</v>
      </c>
      <c r="B40">
        <v>3256.09</v>
      </c>
      <c r="C40" s="7">
        <v>5.3769999999999998E-2</v>
      </c>
      <c r="D40" s="5">
        <v>333.7</v>
      </c>
      <c r="E40" s="5">
        <v>175.5</v>
      </c>
      <c r="F40" s="8">
        <v>0.27728817985828347</v>
      </c>
      <c r="G40" s="8">
        <v>0.29085739708010855</v>
      </c>
      <c r="H40">
        <f t="shared" si="0"/>
        <v>0.92328767123287669</v>
      </c>
      <c r="I40">
        <f t="shared" si="1"/>
        <v>0.92328767123287669</v>
      </c>
      <c r="J40" cm="1">
        <f t="array" ref="J40">BS_Delta("P",B40,$F$4,F40,H40,C40)</f>
        <v>-0.43753232341985759</v>
      </c>
      <c r="K40" cm="1">
        <f t="array" ref="K40">-BS_Delta("P",B40,$G$4,G40,I40,C40)</f>
        <v>0.27077430025163018</v>
      </c>
      <c r="L40">
        <f t="shared" si="2"/>
        <v>0.83324197683177259</v>
      </c>
      <c r="M40" cm="1">
        <f t="array" ref="M40">BS_Gamma(B40,$F$4,F40,H40,C40)</f>
        <v>4.541985315853621E-4</v>
      </c>
      <c r="N40" cm="1">
        <f t="array" ref="N40">BS_Gamma(B40,$G$4,G40,I40,C40)</f>
        <v>3.6386410995067962E-4</v>
      </c>
      <c r="O40">
        <f t="shared" si="3"/>
        <v>9.0334421634682483E-5</v>
      </c>
      <c r="P40" cm="1">
        <f t="array" ref="P40">BS_Theta("P",B40,$F$4,F40,H40,C40)</f>
        <v>-90.581441273379042</v>
      </c>
      <c r="Q40" cm="1">
        <f t="array" ref="Q40">BS_Theta("P",B40,$G$4,G40,I40,C40)</f>
        <v>-106.33445450029019</v>
      </c>
      <c r="R40">
        <f t="shared" si="4"/>
        <v>15.75301322691115</v>
      </c>
      <c r="S40" cm="1">
        <f t="array" ref="S40">BS_Vega(B40,$F$4,F40,H40,C40)</f>
        <v>1232.8405775860547</v>
      </c>
      <c r="T40" cm="1">
        <f t="array" ref="T40">-BS_Vega(B40,$G$4,G40,I40,C40)</f>
        <v>-1035.9747522882944</v>
      </c>
      <c r="U40">
        <f t="shared" si="5"/>
        <v>196.86582529776024</v>
      </c>
      <c r="V40">
        <f t="shared" si="7"/>
        <v>81.329999999999927</v>
      </c>
      <c r="W40">
        <f t="shared" si="8"/>
        <v>-521.75999999999976</v>
      </c>
      <c r="X40" s="20">
        <f t="shared" si="9"/>
        <v>-51.600000000000023</v>
      </c>
      <c r="Y40" s="20">
        <f t="shared" si="10"/>
        <v>-33.099999999999994</v>
      </c>
      <c r="Z40" s="20">
        <f t="shared" si="11"/>
        <v>62.829999999999899</v>
      </c>
      <c r="AA40" s="20">
        <f t="shared" si="12"/>
        <v>-449.05999999999972</v>
      </c>
      <c r="AB40">
        <f t="shared" si="13"/>
        <v>67.701843796648248</v>
      </c>
      <c r="AC40">
        <f t="shared" si="14"/>
        <v>-456.51406411901354</v>
      </c>
      <c r="AD40">
        <f t="shared" si="15"/>
        <v>0.28624830037290017</v>
      </c>
      <c r="AE40">
        <f t="shared" si="16"/>
        <v>4.354124195756528</v>
      </c>
      <c r="AF40">
        <f t="shared" si="6"/>
        <v>-4.6428741062534211</v>
      </c>
      <c r="AG40">
        <f t="shared" si="17"/>
        <v>6.9180931429734809</v>
      </c>
      <c r="AH40">
        <f t="shared" si="18"/>
        <v>63.345217990767729</v>
      </c>
      <c r="AI40">
        <f t="shared" si="19"/>
        <v>-445.24184678028365</v>
      </c>
    </row>
    <row r="41" spans="1:35" x14ac:dyDescent="0.3">
      <c r="A41" s="3">
        <v>39647</v>
      </c>
      <c r="B41">
        <v>3321.53</v>
      </c>
      <c r="C41" s="7">
        <v>5.3749999999999999E-2</v>
      </c>
      <c r="D41" s="5">
        <v>300.7</v>
      </c>
      <c r="E41" s="5">
        <v>156.30000000000001</v>
      </c>
      <c r="F41" s="8">
        <v>0.27317240542789128</v>
      </c>
      <c r="G41" s="8">
        <v>0.28890100874448693</v>
      </c>
      <c r="H41">
        <f t="shared" si="0"/>
        <v>0.92054794520547945</v>
      </c>
      <c r="I41">
        <f t="shared" si="1"/>
        <v>0.92054794520547945</v>
      </c>
      <c r="J41" cm="1">
        <f t="array" ref="J41">BS_Delta("P",B41,$F$4,F41,H41,C41)</f>
        <v>-0.40875742096172396</v>
      </c>
      <c r="K41" cm="1">
        <f t="array" ref="K41">-BS_Delta("P",B41,$G$4,G41,I41,C41)</f>
        <v>0.24685860755649802</v>
      </c>
      <c r="L41">
        <f t="shared" si="2"/>
        <v>0.83810118659477406</v>
      </c>
      <c r="M41" cm="1">
        <f t="array" ref="M41">BS_Gamma(B41,$F$4,F41,H41,C41)</f>
        <v>4.4622148397067827E-4</v>
      </c>
      <c r="N41" cm="1">
        <f t="array" ref="N41">BS_Gamma(B41,$G$4,G41,I41,C41)</f>
        <v>3.4283454919661069E-4</v>
      </c>
      <c r="O41">
        <f t="shared" si="3"/>
        <v>1.0338693477406758E-4</v>
      </c>
      <c r="P41" cm="1">
        <f t="array" ref="P41">BS_Theta("P",B41,$F$4,F41,H41,C41)</f>
        <v>-94.544644743921125</v>
      </c>
      <c r="Q41" cm="1">
        <f t="array" ref="Q41">BS_Theta("P",B41,$G$4,G41,I41,C41)</f>
        <v>-105.37101272211224</v>
      </c>
      <c r="R41">
        <f t="shared" si="4"/>
        <v>10.826367978191115</v>
      </c>
      <c r="S41" cm="1">
        <f t="array" ref="S41">BS_Vega(B41,$F$4,F41,H41,C41)</f>
        <v>1237.9698694338392</v>
      </c>
      <c r="T41" cm="1">
        <f t="array" ref="T41">-BS_Vega(B41,$G$4,G41,I41,C41)</f>
        <v>-1005.9037134105362</v>
      </c>
      <c r="U41">
        <f t="shared" si="5"/>
        <v>232.06615602330305</v>
      </c>
      <c r="V41">
        <f t="shared" si="7"/>
        <v>65.440000000000055</v>
      </c>
      <c r="W41">
        <f t="shared" si="8"/>
        <v>-456.31999999999971</v>
      </c>
      <c r="X41" s="20">
        <f t="shared" si="9"/>
        <v>-33</v>
      </c>
      <c r="Y41" s="20">
        <f t="shared" si="10"/>
        <v>-19.199999999999989</v>
      </c>
      <c r="Z41" s="20">
        <f t="shared" si="11"/>
        <v>51.640000000000043</v>
      </c>
      <c r="AA41" s="20">
        <f t="shared" si="12"/>
        <v>-397.41999999999967</v>
      </c>
      <c r="AB41">
        <f t="shared" si="13"/>
        <v>54.527354963871247</v>
      </c>
      <c r="AC41">
        <f t="shared" si="14"/>
        <v>-401.98670915514231</v>
      </c>
      <c r="AD41">
        <f t="shared" si="15"/>
        <v>0.23658271488173499</v>
      </c>
      <c r="AE41">
        <f t="shared" si="16"/>
        <v>4.5907069106382625</v>
      </c>
      <c r="AF41">
        <f t="shared" si="6"/>
        <v>-3.0473248046033001</v>
      </c>
      <c r="AG41">
        <f t="shared" si="17"/>
        <v>3.8707683383701808</v>
      </c>
      <c r="AH41">
        <f t="shared" si="18"/>
        <v>51.716612874149682</v>
      </c>
      <c r="AI41">
        <f t="shared" si="19"/>
        <v>-393.52523390613396</v>
      </c>
    </row>
    <row r="42" spans="1:35" x14ac:dyDescent="0.3">
      <c r="A42" s="3">
        <v>39650</v>
      </c>
      <c r="B42">
        <v>3333.92</v>
      </c>
      <c r="C42" s="7">
        <v>5.4130000000000005E-2</v>
      </c>
      <c r="D42" s="5">
        <v>292.5</v>
      </c>
      <c r="E42" s="5">
        <v>151.4</v>
      </c>
      <c r="F42" s="8">
        <v>0.27170292148967923</v>
      </c>
      <c r="G42" s="8">
        <v>0.28823063700379065</v>
      </c>
      <c r="H42">
        <f t="shared" si="0"/>
        <v>0.9123287671232877</v>
      </c>
      <c r="I42">
        <f t="shared" si="1"/>
        <v>0.9123287671232877</v>
      </c>
      <c r="J42" cm="1">
        <f t="array" ref="J42">BS_Delta("P",B42,$F$4,F42,H42,C42)</f>
        <v>-0.40345107207274011</v>
      </c>
      <c r="K42" cm="1">
        <f t="array" ref="K42">-BS_Delta("P",B42,$G$4,G42,I42,C42)</f>
        <v>0.24184648948638632</v>
      </c>
      <c r="L42">
        <f t="shared" si="2"/>
        <v>0.8383954174136462</v>
      </c>
      <c r="M42" cm="1">
        <f t="array" ref="M42">BS_Gamma(B42,$F$4,F42,H42,C42)</f>
        <v>4.4751933987620607E-4</v>
      </c>
      <c r="N42" cm="1">
        <f t="array" ref="N42">BS_Gamma(B42,$G$4,G42,I42,C42)</f>
        <v>3.4011266449427471E-4</v>
      </c>
      <c r="O42">
        <f t="shared" si="3"/>
        <v>1.0740667538193137E-4</v>
      </c>
      <c r="P42" cm="1">
        <f t="array" ref="P42">BS_Theta("P",B42,$F$4,F42,H42,C42)</f>
        <v>-94.961565918050695</v>
      </c>
      <c r="Q42" cm="1">
        <f t="array" ref="Q42">BS_Theta("P",B42,$G$4,G42,I42,C42)</f>
        <v>-105.19016219887853</v>
      </c>
      <c r="R42">
        <f t="shared" si="4"/>
        <v>10.22859628082783</v>
      </c>
      <c r="S42" cm="1">
        <f t="array" ref="S42">BS_Vega(B42,$F$4,F42,H42,C42)</f>
        <v>1233.0135079803281</v>
      </c>
      <c r="T42" cm="1">
        <f t="array" ref="T42">-BS_Vega(B42,$G$4,G42,I42,C42)</f>
        <v>-994.08761491887412</v>
      </c>
      <c r="U42">
        <f t="shared" si="5"/>
        <v>238.92589306145396</v>
      </c>
      <c r="V42">
        <f t="shared" si="7"/>
        <v>12.389999999999873</v>
      </c>
      <c r="W42">
        <f t="shared" si="8"/>
        <v>-443.92999999999984</v>
      </c>
      <c r="X42" s="20">
        <f t="shared" si="9"/>
        <v>-8.1999999999999886</v>
      </c>
      <c r="Y42" s="20">
        <f t="shared" si="10"/>
        <v>-4.9000000000000057</v>
      </c>
      <c r="Z42" s="20">
        <f t="shared" si="11"/>
        <v>9.0899999999998897</v>
      </c>
      <c r="AA42" s="20">
        <f t="shared" si="12"/>
        <v>-388.32999999999981</v>
      </c>
      <c r="AB42">
        <f t="shared" si="13"/>
        <v>10.384073701909143</v>
      </c>
      <c r="AC42">
        <f t="shared" si="14"/>
        <v>-391.60263545323318</v>
      </c>
      <c r="AD42">
        <f t="shared" si="15"/>
        <v>9.6919419130956266E-2</v>
      </c>
      <c r="AE42">
        <f t="shared" si="16"/>
        <v>4.6876263297692189</v>
      </c>
      <c r="AF42">
        <f t="shared" si="6"/>
        <v>-1.1448474157916262</v>
      </c>
      <c r="AG42">
        <f t="shared" si="17"/>
        <v>2.7259209225785543</v>
      </c>
      <c r="AH42">
        <f t="shared" si="18"/>
        <v>9.3361457052484731</v>
      </c>
      <c r="AI42">
        <f t="shared" si="19"/>
        <v>-384.18908820088546</v>
      </c>
    </row>
    <row r="43" spans="1:35" x14ac:dyDescent="0.3">
      <c r="A43" s="3">
        <v>39651</v>
      </c>
      <c r="B43">
        <v>3326.24</v>
      </c>
      <c r="C43" s="7">
        <v>5.4179999999999999E-2</v>
      </c>
      <c r="D43" s="5">
        <v>292.39999999999998</v>
      </c>
      <c r="E43" s="5">
        <v>150.30000000000001</v>
      </c>
      <c r="F43" s="8">
        <v>0.26936521678320219</v>
      </c>
      <c r="G43" s="8">
        <v>0.28558155508796762</v>
      </c>
      <c r="H43">
        <f t="shared" si="0"/>
        <v>0.90958904109589045</v>
      </c>
      <c r="I43">
        <f t="shared" si="1"/>
        <v>0.90958904109589045</v>
      </c>
      <c r="J43" cm="1">
        <f t="array" ref="J43">BS_Delta("P",B43,$F$4,F43,H43,C43)</f>
        <v>-0.40714070517617085</v>
      </c>
      <c r="K43" cm="1">
        <f t="array" ref="K43">-BS_Delta("P",B43,$G$4,G43,I43,C43)</f>
        <v>0.24317222479166067</v>
      </c>
      <c r="L43">
        <f t="shared" si="2"/>
        <v>0.83603151961548983</v>
      </c>
      <c r="M43" cm="1">
        <f t="array" ref="M43">BS_Gamma(B43,$F$4,F43,H43,C43)</f>
        <v>4.5416112609147647E-4</v>
      </c>
      <c r="N43" cm="1">
        <f t="array" ref="N43">BS_Gamma(B43,$G$4,G43,I43,C43)</f>
        <v>3.4559972587331874E-4</v>
      </c>
      <c r="O43">
        <f t="shared" si="3"/>
        <v>1.0856140021815773E-4</v>
      </c>
      <c r="P43" cm="1">
        <f t="array" ref="P43">BS_Theta("P",B43,$F$4,F43,H43,C43)</f>
        <v>-93.077696009686321</v>
      </c>
      <c r="Q43" cm="1">
        <f t="array" ref="Q43">BS_Theta("P",B43,$G$4,G43,I43,C43)</f>
        <v>-103.95654281354004</v>
      </c>
      <c r="R43">
        <f t="shared" si="4"/>
        <v>10.878846803853719</v>
      </c>
      <c r="S43" cm="1">
        <f t="array" ref="S43">BS_Vega(B43,$F$4,F43,H43,C43)</f>
        <v>1231.1298334688681</v>
      </c>
      <c r="T43" cm="1">
        <f t="array" ref="T43">-BS_Vega(B43,$G$4,G43,I43,C43)</f>
        <v>-993.24394574648522</v>
      </c>
      <c r="U43">
        <f t="shared" si="5"/>
        <v>237.8858877223829</v>
      </c>
      <c r="V43">
        <f t="shared" si="7"/>
        <v>-7.680000000000291</v>
      </c>
      <c r="W43">
        <f t="shared" si="8"/>
        <v>-451.61000000000013</v>
      </c>
      <c r="X43" s="20">
        <f t="shared" si="9"/>
        <v>-0.10000000000002274</v>
      </c>
      <c r="Y43" s="20">
        <f t="shared" si="10"/>
        <v>-1.0999999999999943</v>
      </c>
      <c r="Z43" s="20">
        <f t="shared" si="11"/>
        <v>-6.6800000000003195</v>
      </c>
      <c r="AA43" s="20">
        <f t="shared" si="12"/>
        <v>-395.0100000000001</v>
      </c>
      <c r="AB43">
        <f t="shared" si="13"/>
        <v>-6.4388768057370465</v>
      </c>
      <c r="AC43">
        <f t="shared" si="14"/>
        <v>-398.04151225897022</v>
      </c>
      <c r="AD43">
        <f t="shared" si="15"/>
        <v>3.1191103199346676E-2</v>
      </c>
      <c r="AE43">
        <f t="shared" si="16"/>
        <v>4.7188174329685655</v>
      </c>
      <c r="AF43">
        <f t="shared" si="6"/>
        <v>-0.24900195733014385</v>
      </c>
      <c r="AG43">
        <f t="shared" si="17"/>
        <v>2.4769189652484105</v>
      </c>
      <c r="AH43">
        <f t="shared" si="18"/>
        <v>-6.6566876598678437</v>
      </c>
      <c r="AI43">
        <f t="shared" si="19"/>
        <v>-390.84577586075329</v>
      </c>
    </row>
    <row r="44" spans="1:35" x14ac:dyDescent="0.3">
      <c r="A44" s="3">
        <v>39652</v>
      </c>
      <c r="B44">
        <v>3387.5</v>
      </c>
      <c r="C44" s="7">
        <v>5.4320000000000007E-2</v>
      </c>
      <c r="D44" s="5">
        <v>264.39999999999998</v>
      </c>
      <c r="E44" s="5">
        <v>133.6</v>
      </c>
      <c r="F44" s="8">
        <v>0.2665683292697395</v>
      </c>
      <c r="G44" s="8">
        <v>0.2834541586477054</v>
      </c>
      <c r="H44">
        <f t="shared" si="0"/>
        <v>0.9068493150684932</v>
      </c>
      <c r="I44">
        <f t="shared" si="1"/>
        <v>0.9068493150684932</v>
      </c>
      <c r="J44" cm="1">
        <f t="array" ref="J44">BS_Delta("P",B44,$F$4,F44,H44,C44)</f>
        <v>-0.37962439345134724</v>
      </c>
      <c r="K44" cm="1">
        <f t="array" ref="K44">-BS_Delta("P",B44,$G$4,G44,I44,C44)</f>
        <v>0.22139213130835866</v>
      </c>
      <c r="L44">
        <f t="shared" si="2"/>
        <v>0.84176773785701142</v>
      </c>
      <c r="M44" cm="1">
        <f t="array" ref="M44">BS_Gamma(B44,$F$4,F44,H44,C44)</f>
        <v>4.4264920055757861E-4</v>
      </c>
      <c r="N44" cm="1">
        <f t="array" ref="N44">BS_Gamma(B44,$G$4,G44,I44,C44)</f>
        <v>3.2498881000108911E-4</v>
      </c>
      <c r="O44">
        <f t="shared" si="3"/>
        <v>1.176603905564895E-4</v>
      </c>
      <c r="P44" cm="1">
        <f t="array" ref="P44">BS_Theta("P",B44,$F$4,F44,H44,C44)</f>
        <v>-96.253644072659199</v>
      </c>
      <c r="Q44" cm="1">
        <f t="array" ref="Q44">BS_Theta("P",B44,$G$4,G44,I44,C44)</f>
        <v>-101.82225163700522</v>
      </c>
      <c r="R44">
        <f t="shared" si="4"/>
        <v>5.5686075643460242</v>
      </c>
      <c r="S44" cm="1">
        <f t="array" ref="S44">BS_Vega(B44,$F$4,F44,H44,C44)</f>
        <v>1227.8970933510125</v>
      </c>
      <c r="T44" cm="1">
        <f t="array" ref="T44">-BS_Vega(B44,$G$4,G44,I44,C44)</f>
        <v>-958.61667180103416</v>
      </c>
      <c r="U44">
        <f t="shared" si="5"/>
        <v>269.28042154997831</v>
      </c>
      <c r="V44">
        <f t="shared" si="7"/>
        <v>61.260000000000218</v>
      </c>
      <c r="W44">
        <f t="shared" si="8"/>
        <v>-390.34999999999991</v>
      </c>
      <c r="X44" s="20">
        <f t="shared" si="9"/>
        <v>-28</v>
      </c>
      <c r="Y44" s="20">
        <f t="shared" si="10"/>
        <v>-16.700000000000017</v>
      </c>
      <c r="Z44" s="20">
        <f t="shared" si="11"/>
        <v>49.960000000000235</v>
      </c>
      <c r="AA44" s="20">
        <f t="shared" si="12"/>
        <v>-345.04999999999984</v>
      </c>
      <c r="AB44">
        <f t="shared" si="13"/>
        <v>51.21529089164509</v>
      </c>
      <c r="AC44">
        <f t="shared" si="14"/>
        <v>-346.8262213673251</v>
      </c>
      <c r="AD44">
        <f t="shared" si="15"/>
        <v>0.23350899802525682</v>
      </c>
      <c r="AE44">
        <f t="shared" si="16"/>
        <v>4.9523264309938222</v>
      </c>
      <c r="AF44">
        <f t="shared" si="6"/>
        <v>-1.330308024187401</v>
      </c>
      <c r="AG44">
        <f t="shared" si="17"/>
        <v>1.1466109410610095</v>
      </c>
      <c r="AH44">
        <f t="shared" si="18"/>
        <v>50.118491865482945</v>
      </c>
      <c r="AI44">
        <f t="shared" si="19"/>
        <v>-340.72728399527034</v>
      </c>
    </row>
    <row r="45" spans="1:35" x14ac:dyDescent="0.3">
      <c r="A45" s="3">
        <v>39653</v>
      </c>
      <c r="B45">
        <v>3354.58</v>
      </c>
      <c r="C45" s="7">
        <v>5.4089999999999999E-2</v>
      </c>
      <c r="D45" s="5">
        <v>286.39999999999998</v>
      </c>
      <c r="E45" s="5">
        <v>146.80000000000001</v>
      </c>
      <c r="F45" s="8">
        <v>0.27404771696447339</v>
      </c>
      <c r="G45" s="8">
        <v>0.28940981054480869</v>
      </c>
      <c r="H45">
        <f t="shared" si="0"/>
        <v>0.90410958904109584</v>
      </c>
      <c r="I45">
        <f t="shared" si="1"/>
        <v>0.90410958904109584</v>
      </c>
      <c r="J45" cm="1">
        <f t="array" ref="J45">BS_Delta("P",B45,$F$4,F45,H45,C45)</f>
        <v>-0.394984934012369</v>
      </c>
      <c r="K45" cm="1">
        <f t="array" ref="K45">-BS_Delta("P",B45,$G$4,G45,I45,C45)</f>
        <v>0.2353733184891148</v>
      </c>
      <c r="L45">
        <f t="shared" si="2"/>
        <v>0.8403883844767458</v>
      </c>
      <c r="M45" cm="1">
        <f t="array" ref="M45">BS_Gamma(B45,$F$4,F45,H45,C45)</f>
        <v>4.4048415089016646E-4</v>
      </c>
      <c r="N45" cm="1">
        <f t="array" ref="N45">BS_Gamma(B45,$G$4,G45,I45,C45)</f>
        <v>3.3318325733351449E-4</v>
      </c>
      <c r="O45">
        <f t="shared" si="3"/>
        <v>1.0730089355665196E-4</v>
      </c>
      <c r="P45" cm="1">
        <f t="array" ref="P45">BS_Theta("P",B45,$F$4,F45,H45,C45)</f>
        <v>-98.974309983091985</v>
      </c>
      <c r="Q45" cm="1">
        <f t="array" ref="Q45">BS_Theta("P",B45,$G$4,G45,I45,C45)</f>
        <v>-106.37164368872747</v>
      </c>
      <c r="R45">
        <f t="shared" si="4"/>
        <v>7.3973337056354893</v>
      </c>
      <c r="S45" cm="1">
        <f t="array" ref="S45">BS_Vega(B45,$F$4,F45,H45,C45)</f>
        <v>1228.1569133367375</v>
      </c>
      <c r="T45" cm="1">
        <f t="array" ref="T45">-BS_Vega(B45,$G$4,G45,I45,C45)</f>
        <v>-981.05600598902561</v>
      </c>
      <c r="U45">
        <f t="shared" si="5"/>
        <v>247.10090734771188</v>
      </c>
      <c r="V45">
        <f t="shared" si="7"/>
        <v>-32.920000000000073</v>
      </c>
      <c r="W45">
        <f t="shared" si="8"/>
        <v>-423.27</v>
      </c>
      <c r="X45" s="20">
        <f t="shared" si="9"/>
        <v>22</v>
      </c>
      <c r="Y45" s="20">
        <f t="shared" si="10"/>
        <v>13.200000000000017</v>
      </c>
      <c r="Z45" s="20">
        <f t="shared" si="11"/>
        <v>-24.12000000000009</v>
      </c>
      <c r="AA45" s="20">
        <f t="shared" si="12"/>
        <v>-369.16999999999996</v>
      </c>
      <c r="AB45">
        <f t="shared" si="13"/>
        <v>-27.710993930252876</v>
      </c>
      <c r="AC45">
        <f t="shared" si="14"/>
        <v>-374.53721529757797</v>
      </c>
      <c r="AD45">
        <f t="shared" si="15"/>
        <v>7.9012294820589524E-2</v>
      </c>
      <c r="AE45">
        <f t="shared" si="16"/>
        <v>5.031338725814412</v>
      </c>
      <c r="AF45">
        <f t="shared" si="6"/>
        <v>3.4747312104023989</v>
      </c>
      <c r="AG45">
        <f t="shared" si="17"/>
        <v>4.6213421514634083</v>
      </c>
      <c r="AH45">
        <f t="shared" si="18"/>
        <v>-24.157250425029886</v>
      </c>
      <c r="AI45">
        <f t="shared" si="19"/>
        <v>-364.88453442030021</v>
      </c>
    </row>
    <row r="46" spans="1:35" x14ac:dyDescent="0.3">
      <c r="A46" s="3">
        <v>39654</v>
      </c>
      <c r="B46">
        <v>3351.13</v>
      </c>
      <c r="C46" s="7">
        <v>5.3870000000000001E-2</v>
      </c>
      <c r="D46" s="5">
        <v>284.89999999999998</v>
      </c>
      <c r="E46" s="5">
        <v>146</v>
      </c>
      <c r="F46" s="8">
        <v>0.27167125614297566</v>
      </c>
      <c r="G46" s="8">
        <v>0.28787167678508496</v>
      </c>
      <c r="H46">
        <f t="shared" si="0"/>
        <v>0.90136986301369859</v>
      </c>
      <c r="I46">
        <f t="shared" si="1"/>
        <v>0.90136986301369859</v>
      </c>
      <c r="J46" cm="1">
        <f t="array" ref="J46">BS_Delta("P",B46,$F$4,F46,H46,C46)</f>
        <v>-0.39701158665877334</v>
      </c>
      <c r="K46" cm="1">
        <f t="array" ref="K46">-BS_Delta("P",B46,$G$4,G46,I46,C46)</f>
        <v>0.23597711741158711</v>
      </c>
      <c r="L46">
        <f t="shared" si="2"/>
        <v>0.83896553075281377</v>
      </c>
      <c r="M46" cm="1">
        <f t="array" ref="M46">BS_Gamma(B46,$F$4,F46,H46,C46)</f>
        <v>4.460885769267185E-4</v>
      </c>
      <c r="N46" cm="1">
        <f t="array" ref="N46">BS_Gamma(B46,$G$4,G46,I46,C46)</f>
        <v>3.3629239054389933E-4</v>
      </c>
      <c r="O46">
        <f t="shared" si="3"/>
        <v>1.0979618638281918E-4</v>
      </c>
      <c r="P46" cm="1">
        <f t="array" ref="P46">BS_Theta("P",B46,$F$4,F46,H46,C46)</f>
        <v>-97.849472903315274</v>
      </c>
      <c r="Q46" cm="1">
        <f t="array" ref="Q46">BS_Theta("P",B46,$G$4,G46,I46,C46)</f>
        <v>-106.01823364611384</v>
      </c>
      <c r="R46">
        <f t="shared" si="4"/>
        <v>8.1687607427985682</v>
      </c>
      <c r="S46" cm="1">
        <f t="array" ref="S46">BS_Vega(B46,$F$4,F46,H46,C46)</f>
        <v>1226.7339315194649</v>
      </c>
      <c r="T46" cm="1">
        <f t="array" ref="T46">-BS_Vega(B46,$G$4,G46,I46,C46)</f>
        <v>-979.94468736833903</v>
      </c>
      <c r="U46">
        <f t="shared" si="5"/>
        <v>246.7892441511259</v>
      </c>
      <c r="V46">
        <f t="shared" si="7"/>
        <v>-3.4499999999998181</v>
      </c>
      <c r="W46">
        <f t="shared" si="8"/>
        <v>-426.7199999999998</v>
      </c>
      <c r="X46" s="20">
        <f t="shared" si="9"/>
        <v>-1.5</v>
      </c>
      <c r="Y46" s="20">
        <f t="shared" si="10"/>
        <v>-0.80000000000001137</v>
      </c>
      <c r="Z46" s="20">
        <f t="shared" si="11"/>
        <v>-4.1499999999998067</v>
      </c>
      <c r="AA46" s="20">
        <f t="shared" si="12"/>
        <v>-373.31999999999977</v>
      </c>
      <c r="AB46">
        <f t="shared" si="13"/>
        <v>-2.89933992644462</v>
      </c>
      <c r="AC46">
        <f t="shared" si="14"/>
        <v>-377.43655522402258</v>
      </c>
      <c r="AD46">
        <f t="shared" si="15"/>
        <v>2.0905242129451534E-2</v>
      </c>
      <c r="AE46">
        <f t="shared" si="16"/>
        <v>5.0522439679438635</v>
      </c>
      <c r="AF46">
        <f t="shared" si="6"/>
        <v>-1.4096714242048953</v>
      </c>
      <c r="AG46">
        <f t="shared" si="17"/>
        <v>3.2116707272585128</v>
      </c>
      <c r="AH46">
        <f t="shared" si="18"/>
        <v>-4.288106108520064</v>
      </c>
      <c r="AI46">
        <f t="shared" si="19"/>
        <v>-369.1726405288203</v>
      </c>
    </row>
    <row r="47" spans="1:35" x14ac:dyDescent="0.3">
      <c r="A47" s="3">
        <v>39657</v>
      </c>
      <c r="B47">
        <v>3313.41</v>
      </c>
      <c r="C47" s="7">
        <v>5.389E-2</v>
      </c>
      <c r="D47" s="5">
        <v>303.2</v>
      </c>
      <c r="E47" s="5">
        <v>156.1</v>
      </c>
      <c r="F47" s="8">
        <v>0.27479790729135362</v>
      </c>
      <c r="G47" s="8">
        <v>0.28973603587766955</v>
      </c>
      <c r="H47">
        <f t="shared" si="0"/>
        <v>0.89315068493150684</v>
      </c>
      <c r="I47">
        <f t="shared" si="1"/>
        <v>0.89315068493150684</v>
      </c>
      <c r="J47" cm="1">
        <f t="array" ref="J47">BS_Delta("P",B47,$F$4,F47,H47,C47)</f>
        <v>-0.41455199102804552</v>
      </c>
      <c r="K47" cm="1">
        <f t="array" ref="K47">-BS_Delta("P",B47,$G$4,G47,I47,C47)</f>
        <v>0.24965491827928354</v>
      </c>
      <c r="L47">
        <f t="shared" si="2"/>
        <v>0.83510292725123803</v>
      </c>
      <c r="M47" cm="1">
        <f t="array" ref="M47">BS_Gamma(B47,$F$4,F47,H47,C47)</f>
        <v>4.5294123496724336E-4</v>
      </c>
      <c r="N47" cm="1">
        <f t="array" ref="N47">BS_Gamma(B47,$G$4,G47,I47,C47)</f>
        <v>3.4999621394137074E-4</v>
      </c>
      <c r="O47">
        <f t="shared" si="3"/>
        <v>1.0294502102587262E-4</v>
      </c>
      <c r="P47" cm="1">
        <f t="array" ref="P47">BS_Theta("P",B47,$F$4,F47,H47,C47)</f>
        <v>-97.392229205805933</v>
      </c>
      <c r="Q47" cm="1">
        <f t="array" ref="Q47">BS_Theta("P",B47,$G$4,G47,I47,C47)</f>
        <v>-108.29252544155518</v>
      </c>
      <c r="R47">
        <f t="shared" si="4"/>
        <v>10.900296235749252</v>
      </c>
      <c r="S47" cm="1">
        <f t="array" ref="S47">BS_Vega(B47,$F$4,F47,H47,C47)</f>
        <v>1220.4791759645786</v>
      </c>
      <c r="T47" cm="1">
        <f t="array" ref="T47">-BS_Vega(B47,$G$4,G47,I47,C47)</f>
        <v>-994.35383527376473</v>
      </c>
      <c r="U47">
        <f t="shared" si="5"/>
        <v>226.12534069081391</v>
      </c>
      <c r="V47">
        <f t="shared" si="7"/>
        <v>-37.720000000000255</v>
      </c>
      <c r="W47">
        <f t="shared" si="8"/>
        <v>-464.44000000000005</v>
      </c>
      <c r="X47" s="20">
        <f t="shared" si="9"/>
        <v>18.300000000000011</v>
      </c>
      <c r="Y47" s="20">
        <f t="shared" si="10"/>
        <v>10.099999999999994</v>
      </c>
      <c r="Z47" s="20">
        <f t="shared" si="11"/>
        <v>-29.520000000000238</v>
      </c>
      <c r="AA47" s="20">
        <f t="shared" si="12"/>
        <v>-402.84000000000003</v>
      </c>
      <c r="AB47">
        <f t="shared" si="13"/>
        <v>-31.645779819996349</v>
      </c>
      <c r="AC47">
        <f t="shared" si="14"/>
        <v>-409.08233504401892</v>
      </c>
      <c r="AD47">
        <f t="shared" si="15"/>
        <v>0.14524941841166816</v>
      </c>
      <c r="AE47">
        <f t="shared" si="16"/>
        <v>5.1974933863555322</v>
      </c>
      <c r="AF47">
        <f t="shared" si="6"/>
        <v>2.0086002676144159</v>
      </c>
      <c r="AG47">
        <f t="shared" si="17"/>
        <v>5.2202709948729282</v>
      </c>
      <c r="AH47">
        <f t="shared" si="18"/>
        <v>-29.491930133970264</v>
      </c>
      <c r="AI47">
        <f t="shared" si="19"/>
        <v>-398.66457066279054</v>
      </c>
    </row>
    <row r="48" spans="1:35" x14ac:dyDescent="0.3">
      <c r="A48" s="3">
        <v>39658</v>
      </c>
      <c r="B48">
        <v>3324.86</v>
      </c>
      <c r="C48" s="7">
        <v>5.3800000000000001E-2</v>
      </c>
      <c r="D48" s="5">
        <v>295.10000000000002</v>
      </c>
      <c r="E48" s="5">
        <v>151.19999999999999</v>
      </c>
      <c r="F48" s="8">
        <v>0.27213612757606603</v>
      </c>
      <c r="G48" s="8">
        <v>0.28786635039664271</v>
      </c>
      <c r="H48">
        <f t="shared" si="0"/>
        <v>0.8904109589041096</v>
      </c>
      <c r="I48">
        <f t="shared" si="1"/>
        <v>0.8904109589041096</v>
      </c>
      <c r="J48" cm="1">
        <f t="array" ref="J48">BS_Delta("P",B48,$F$4,F48,H48,C48)</f>
        <v>-0.40985530965219952</v>
      </c>
      <c r="K48" cm="1">
        <f t="array" ref="K48">-BS_Delta("P",B48,$G$4,G48,I48,C48)</f>
        <v>0.24488425243486567</v>
      </c>
      <c r="L48">
        <f t="shared" si="2"/>
        <v>0.83502894278266615</v>
      </c>
      <c r="M48" cm="1">
        <f t="array" ref="M48">BS_Gamma(B48,$F$4,F48,H48,C48)</f>
        <v>4.5527653780226042E-4</v>
      </c>
      <c r="N48" cm="1">
        <f t="array" ref="N48">BS_Gamma(B48,$G$4,G48,I48,C48)</f>
        <v>3.4798759284401304E-4</v>
      </c>
      <c r="O48">
        <f t="shared" si="3"/>
        <v>1.0728894495824737E-4</v>
      </c>
      <c r="P48" cm="1">
        <f t="array" ref="P48">BS_Theta("P",B48,$F$4,F48,H48,C48)</f>
        <v>-97.174760649048508</v>
      </c>
      <c r="Q48" cm="1">
        <f t="array" ref="Q48">BS_Theta("P",B48,$G$4,G48,I48,C48)</f>
        <v>-107.4516140150868</v>
      </c>
      <c r="R48">
        <f t="shared" si="4"/>
        <v>10.276853366038296</v>
      </c>
      <c r="S48" cm="1">
        <f t="array" ref="S48">BS_Vega(B48,$F$4,F48,H48,C48)</f>
        <v>1219.5474246896047</v>
      </c>
      <c r="T48" cm="1">
        <f t="array" ref="T48">-BS_Vega(B48,$G$4,G48,I48,C48)</f>
        <v>-986.03398679709142</v>
      </c>
      <c r="U48">
        <f t="shared" si="5"/>
        <v>233.51343789251325</v>
      </c>
      <c r="V48">
        <f t="shared" si="7"/>
        <v>11.450000000000273</v>
      </c>
      <c r="W48">
        <f t="shared" si="8"/>
        <v>-452.98999999999978</v>
      </c>
      <c r="X48" s="20">
        <f t="shared" si="9"/>
        <v>-8.0999999999999659</v>
      </c>
      <c r="Y48" s="20">
        <f t="shared" si="10"/>
        <v>-4.9000000000000057</v>
      </c>
      <c r="Z48" s="20">
        <f t="shared" si="11"/>
        <v>8.2500000000003126</v>
      </c>
      <c r="AA48" s="20">
        <f t="shared" si="12"/>
        <v>-394.58999999999969</v>
      </c>
      <c r="AB48">
        <f t="shared" si="13"/>
        <v>9.5619285170269031</v>
      </c>
      <c r="AC48">
        <f t="shared" si="14"/>
        <v>-399.52040652699202</v>
      </c>
      <c r="AD48">
        <f t="shared" si="15"/>
        <v>3.6612000112945166E-2</v>
      </c>
      <c r="AE48">
        <f t="shared" si="16"/>
        <v>5.2341053864684772</v>
      </c>
      <c r="AF48">
        <f t="shared" si="6"/>
        <v>-1.3895177846987077</v>
      </c>
      <c r="AG48">
        <f t="shared" si="17"/>
        <v>3.8307532101742208</v>
      </c>
      <c r="AH48">
        <f t="shared" si="18"/>
        <v>8.2090227324411416</v>
      </c>
      <c r="AI48">
        <f t="shared" si="19"/>
        <v>-390.45554793034938</v>
      </c>
    </row>
    <row r="49" spans="1:35" x14ac:dyDescent="0.3">
      <c r="A49" s="3">
        <v>39659</v>
      </c>
      <c r="B49">
        <v>3367.33</v>
      </c>
      <c r="C49" s="7">
        <v>5.3689999999999995E-2</v>
      </c>
      <c r="D49" s="5">
        <v>272</v>
      </c>
      <c r="E49" s="5">
        <v>137.5</v>
      </c>
      <c r="F49" s="8">
        <v>0.26722691247562119</v>
      </c>
      <c r="G49" s="8">
        <v>0.28432797745896293</v>
      </c>
      <c r="H49">
        <f t="shared" si="0"/>
        <v>0.88767123287671235</v>
      </c>
      <c r="I49">
        <f t="shared" si="1"/>
        <v>0.88767123287671235</v>
      </c>
      <c r="J49" cm="1">
        <f t="array" ref="J49">BS_Delta("P",B49,$F$4,F49,H49,C49)</f>
        <v>-0.39095482432406725</v>
      </c>
      <c r="K49" cm="1">
        <f t="array" ref="K49">-BS_Delta("P",B49,$G$4,G49,I49,C49)</f>
        <v>0.22872913748719181</v>
      </c>
      <c r="L49">
        <f t="shared" si="2"/>
        <v>0.83777431316312456</v>
      </c>
      <c r="M49" cm="1">
        <f t="array" ref="M49">BS_Gamma(B49,$F$4,F49,H49,C49)</f>
        <v>4.5287350941615727E-4</v>
      </c>
      <c r="N49" cm="1">
        <f t="array" ref="N49">BS_Gamma(B49,$G$4,G49,I49,C49)</f>
        <v>3.3557556135413924E-4</v>
      </c>
      <c r="O49">
        <f t="shared" si="3"/>
        <v>1.1729794806201804E-4</v>
      </c>
      <c r="P49" cm="1">
        <f t="array" ref="P49">BS_Theta("P",B49,$F$4,F49,H49,C49)</f>
        <v>-98.063887857974592</v>
      </c>
      <c r="Q49" cm="1">
        <f t="array" ref="Q49">BS_Theta("P",B49,$G$4,G49,I49,C49)</f>
        <v>-105.07038968192613</v>
      </c>
      <c r="R49">
        <f t="shared" si="4"/>
        <v>7.0065018239515382</v>
      </c>
      <c r="S49" cm="1">
        <f t="array" ref="S49">BS_Vega(B49,$F$4,F49,H49,C49)</f>
        <v>1218.0934737218784</v>
      </c>
      <c r="T49" cm="1">
        <f t="array" ref="T49">-BS_Vega(B49,$G$4,G49,I49,C49)</f>
        <v>-960.35859138015155</v>
      </c>
      <c r="U49">
        <f t="shared" si="5"/>
        <v>257.7348823417268</v>
      </c>
      <c r="V49">
        <f t="shared" si="7"/>
        <v>42.4699999999998</v>
      </c>
      <c r="W49">
        <f t="shared" si="8"/>
        <v>-410.52</v>
      </c>
      <c r="X49" s="20">
        <f t="shared" si="9"/>
        <v>-23.100000000000023</v>
      </c>
      <c r="Y49" s="20">
        <f t="shared" si="10"/>
        <v>-13.699999999999989</v>
      </c>
      <c r="Z49" s="20">
        <f t="shared" si="11"/>
        <v>33.069999999999766</v>
      </c>
      <c r="AA49" s="20">
        <f t="shared" si="12"/>
        <v>-361.51999999999992</v>
      </c>
      <c r="AB49">
        <f t="shared" si="13"/>
        <v>35.463679199979666</v>
      </c>
      <c r="AC49">
        <f t="shared" si="14"/>
        <v>-364.05672732701237</v>
      </c>
      <c r="AD49">
        <f t="shared" si="15"/>
        <v>0.12491434593729998</v>
      </c>
      <c r="AE49">
        <f t="shared" si="16"/>
        <v>5.3590197324057769</v>
      </c>
      <c r="AF49">
        <f t="shared" si="6"/>
        <v>-2.498064658479497</v>
      </c>
      <c r="AG49">
        <f t="shared" si="17"/>
        <v>1.3326885516947238</v>
      </c>
      <c r="AH49">
        <f t="shared" si="18"/>
        <v>33.090528887437465</v>
      </c>
      <c r="AI49">
        <f t="shared" si="19"/>
        <v>-357.36501904291191</v>
      </c>
    </row>
    <row r="50" spans="1:35" x14ac:dyDescent="0.3">
      <c r="A50" s="3">
        <v>39660</v>
      </c>
      <c r="B50">
        <v>3367.82</v>
      </c>
      <c r="C50" s="7">
        <v>5.3659999999999999E-2</v>
      </c>
      <c r="D50" s="5">
        <v>276.39999999999998</v>
      </c>
      <c r="E50" s="5">
        <v>139.9</v>
      </c>
      <c r="F50" s="8">
        <v>0.27118796388740918</v>
      </c>
      <c r="G50" s="8">
        <v>0.2872189543733219</v>
      </c>
      <c r="H50">
        <f t="shared" si="0"/>
        <v>0.8849315068493151</v>
      </c>
      <c r="I50">
        <f t="shared" si="1"/>
        <v>0.8849315068493151</v>
      </c>
      <c r="J50" cm="1">
        <f t="array" ref="J50">BS_Delta("P",B50,$F$4,F50,H50,C50)</f>
        <v>-0.39111467259994082</v>
      </c>
      <c r="K50" cm="1">
        <f t="array" ref="K50">-BS_Delta("P",B50,$G$4,G50,I50,C50)</f>
        <v>0.22998711323663701</v>
      </c>
      <c r="L50">
        <f t="shared" si="2"/>
        <v>0.83887244063669619</v>
      </c>
      <c r="M50" cm="1">
        <f t="array" ref="M50">BS_Gamma(B50,$F$4,F50,H50,C50)</f>
        <v>4.4693541193730369E-4</v>
      </c>
      <c r="N50" cm="1">
        <f t="array" ref="N50">BS_Gamma(B50,$G$4,G50,I50,C50)</f>
        <v>3.3368764669274161E-4</v>
      </c>
      <c r="O50">
        <f t="shared" si="3"/>
        <v>1.1324776524456208E-4</v>
      </c>
      <c r="P50" cm="1">
        <f t="array" ref="P50">BS_Theta("P",B50,$F$4,F50,H50,C50)</f>
        <v>-100.89040683235221</v>
      </c>
      <c r="Q50" cm="1">
        <f t="array" ref="Q50">BS_Theta("P",B50,$G$4,G50,I50,C50)</f>
        <v>-107.04153699691403</v>
      </c>
      <c r="R50">
        <f t="shared" si="4"/>
        <v>6.1511301645618204</v>
      </c>
      <c r="S50" cm="1">
        <f t="array" ref="S50">BS_Vega(B50,$F$4,F50,H50,C50)</f>
        <v>1216.5293131075975</v>
      </c>
      <c r="T50" cm="1">
        <f t="array" ref="T50">-BS_Vega(B50,$G$4,G50,I50,C50)</f>
        <v>-961.96800395462617</v>
      </c>
      <c r="U50">
        <f t="shared" si="5"/>
        <v>254.56130915297138</v>
      </c>
      <c r="V50">
        <f t="shared" si="7"/>
        <v>0.49000000000023647</v>
      </c>
      <c r="W50" s="19">
        <f t="shared" si="8"/>
        <v>-410.02999999999975</v>
      </c>
      <c r="X50" s="20">
        <f t="shared" si="9"/>
        <v>4.3999999999999773</v>
      </c>
      <c r="Y50" s="20">
        <f t="shared" si="10"/>
        <v>2.4000000000000057</v>
      </c>
      <c r="Z50" s="20">
        <f t="shared" si="11"/>
        <v>2.490000000000208</v>
      </c>
      <c r="AA50" s="30">
        <f t="shared" si="12"/>
        <v>-359.02999999999975</v>
      </c>
      <c r="AB50">
        <f t="shared" si="13"/>
        <v>0.41050941345012915</v>
      </c>
      <c r="AC50">
        <f t="shared" si="14"/>
        <v>-363.64621791356223</v>
      </c>
      <c r="AD50">
        <f t="shared" si="15"/>
        <v>1.9209977026751264E-2</v>
      </c>
      <c r="AE50">
        <f t="shared" si="16"/>
        <v>5.378229709432528</v>
      </c>
      <c r="AF50">
        <f t="shared" si="6"/>
        <v>2.0485563565894638</v>
      </c>
      <c r="AG50">
        <f t="shared" si="17"/>
        <v>3.3812449082841876</v>
      </c>
      <c r="AH50">
        <f t="shared" si="18"/>
        <v>2.4782757470663443</v>
      </c>
      <c r="AI50" s="19">
        <f t="shared" si="19"/>
        <v>-354.88674329584558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6</vt:i4>
      </vt:variant>
    </vt:vector>
  </HeadingPairs>
  <TitlesOfParts>
    <vt:vector size="6" baseType="lpstr">
      <vt:lpstr>Data_3400</vt:lpstr>
      <vt:lpstr>Data_3000</vt:lpstr>
      <vt:lpstr>Sensibilité Stratégie 1</vt:lpstr>
      <vt:lpstr>Sensibilité Stratégie 2</vt:lpstr>
      <vt:lpstr>Backtest Stratégie 1</vt:lpstr>
      <vt:lpstr>Backtest Stratégie 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vibon</dc:creator>
  <cp:lastModifiedBy>Lydie Pudie Zocli</cp:lastModifiedBy>
  <dcterms:created xsi:type="dcterms:W3CDTF">2021-02-05T15:40:27Z</dcterms:created>
  <dcterms:modified xsi:type="dcterms:W3CDTF">2025-03-03T13:03:18Z</dcterms:modified>
</cp:coreProperties>
</file>